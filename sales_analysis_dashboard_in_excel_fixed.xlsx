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xr:revisionPtr revIDLastSave="0" documentId="8_{7A04287A-ACFA-4EC2-AC33-E4820FF5DD23}" xr6:coauthVersionLast="47" xr6:coauthVersionMax="47" xr10:uidLastSave="{00000000-0000-0000-0000-000000000000}"/>
  <bookViews>
    <workbookView xWindow="240" yWindow="105" windowWidth="14805" windowHeight="8010" firstSheet="4" activeTab="2" xr2:uid="{00000000-000D-0000-FFFF-FFFF00000000}"/>
  </bookViews>
  <sheets>
    <sheet name="raw_data" sheetId="1" r:id="rId1"/>
    <sheet name="data" sheetId="3" r:id="rId2"/>
    <sheet name="Pivot_Analysis" sheetId="6" r:id="rId3"/>
    <sheet name="Gross_Sales_EDA" sheetId="8" r:id="rId4"/>
    <sheet name="dashboard" sheetId="9" r:id="rId5"/>
    <sheet name="key insights" sheetId="7" r:id="rId6"/>
    <sheet name="data dictionary" sheetId="5" r:id="rId7"/>
    <sheet name="objective" sheetId="2" r:id="rId8"/>
    <sheet name="data quality notes" sheetId="4" r:id="rId9"/>
  </sheets>
  <definedNames>
    <definedName name="Slicer_Region">#N/A</definedName>
  </definedNames>
  <calcPr calcId="191028"/>
  <pivotCaches>
    <pivotCache cacheId="357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76" i="3" l="1"/>
  <c r="L901" i="3"/>
  <c r="E68" i="8"/>
  <c r="F68" i="8" s="1"/>
  <c r="E69" i="8"/>
  <c r="F69" i="8" s="1"/>
  <c r="E70" i="8"/>
  <c r="F70" i="8" s="1"/>
  <c r="E71" i="8"/>
  <c r="F71" i="8" s="1"/>
  <c r="E72" i="8"/>
  <c r="F72" i="8" s="1"/>
  <c r="E73" i="8"/>
  <c r="F73" i="8" s="1"/>
  <c r="E74" i="8"/>
  <c r="F74" i="8" s="1"/>
  <c r="E75" i="8"/>
  <c r="F75" i="8" s="1"/>
  <c r="E76" i="8"/>
  <c r="F76" i="8" s="1"/>
  <c r="E77" i="8"/>
  <c r="F77" i="8" s="1"/>
  <c r="E78" i="8"/>
  <c r="F78" i="8" s="1"/>
  <c r="E79" i="8"/>
  <c r="F79" i="8" s="1"/>
  <c r="E80" i="8"/>
  <c r="F80" i="8" s="1"/>
  <c r="E81" i="8"/>
  <c r="F81" i="8" s="1"/>
  <c r="E82" i="8"/>
  <c r="F82" i="8" s="1"/>
  <c r="E67" i="8"/>
  <c r="F67" i="8" s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K1001" i="3" l="1"/>
  <c r="L1001" i="3"/>
  <c r="K1000" i="3"/>
  <c r="L1000" i="3"/>
  <c r="K999" i="3"/>
  <c r="L999" i="3"/>
  <c r="K998" i="3"/>
  <c r="L998" i="3"/>
  <c r="K997" i="3"/>
  <c r="L997" i="3"/>
  <c r="K996" i="3"/>
  <c r="L996" i="3"/>
  <c r="K995" i="3"/>
  <c r="L995" i="3"/>
  <c r="K994" i="3"/>
  <c r="L994" i="3"/>
  <c r="K993" i="3"/>
  <c r="L993" i="3"/>
  <c r="K992" i="3"/>
  <c r="L992" i="3"/>
  <c r="K991" i="3"/>
  <c r="L991" i="3"/>
  <c r="K990" i="3"/>
  <c r="L990" i="3"/>
  <c r="K989" i="3"/>
  <c r="L989" i="3"/>
  <c r="K988" i="3"/>
  <c r="L988" i="3"/>
  <c r="K987" i="3"/>
  <c r="L987" i="3"/>
  <c r="K986" i="3"/>
  <c r="L986" i="3"/>
  <c r="K985" i="3"/>
  <c r="L985" i="3"/>
  <c r="K984" i="3"/>
  <c r="L984" i="3"/>
  <c r="K983" i="3"/>
  <c r="L983" i="3"/>
  <c r="K982" i="3"/>
  <c r="L982" i="3"/>
  <c r="K981" i="3"/>
  <c r="L981" i="3"/>
  <c r="K980" i="3"/>
  <c r="L980" i="3"/>
  <c r="K979" i="3"/>
  <c r="L979" i="3"/>
  <c r="K978" i="3"/>
  <c r="L978" i="3"/>
  <c r="K977" i="3"/>
  <c r="L977" i="3"/>
  <c r="K976" i="3"/>
  <c r="L976" i="3"/>
  <c r="K975" i="3"/>
  <c r="L975" i="3"/>
  <c r="K974" i="3"/>
  <c r="L974" i="3"/>
  <c r="K973" i="3"/>
  <c r="L973" i="3"/>
  <c r="K972" i="3"/>
  <c r="L972" i="3"/>
  <c r="K971" i="3"/>
  <c r="L971" i="3"/>
  <c r="K970" i="3"/>
  <c r="L970" i="3"/>
  <c r="K969" i="3"/>
  <c r="L969" i="3"/>
  <c r="K968" i="3"/>
  <c r="L968" i="3"/>
  <c r="K967" i="3"/>
  <c r="L967" i="3"/>
  <c r="K966" i="3"/>
  <c r="L966" i="3"/>
  <c r="K965" i="3"/>
  <c r="L965" i="3"/>
  <c r="K964" i="3"/>
  <c r="L964" i="3"/>
  <c r="K963" i="3"/>
  <c r="L963" i="3"/>
  <c r="K962" i="3"/>
  <c r="L962" i="3"/>
  <c r="K961" i="3"/>
  <c r="L961" i="3"/>
  <c r="K960" i="3"/>
  <c r="L960" i="3"/>
  <c r="K959" i="3"/>
  <c r="L959" i="3"/>
  <c r="K958" i="3"/>
  <c r="L958" i="3"/>
  <c r="K957" i="3"/>
  <c r="L957" i="3"/>
  <c r="K956" i="3"/>
  <c r="L956" i="3"/>
  <c r="K955" i="3"/>
  <c r="L955" i="3"/>
  <c r="K954" i="3"/>
  <c r="L954" i="3"/>
  <c r="K953" i="3"/>
  <c r="L953" i="3"/>
  <c r="K952" i="3"/>
  <c r="L952" i="3"/>
  <c r="K951" i="3"/>
  <c r="L951" i="3"/>
  <c r="K950" i="3"/>
  <c r="L950" i="3"/>
  <c r="K949" i="3"/>
  <c r="L949" i="3"/>
  <c r="K948" i="3"/>
  <c r="L948" i="3"/>
  <c r="K947" i="3"/>
  <c r="L947" i="3"/>
  <c r="K946" i="3"/>
  <c r="L946" i="3"/>
  <c r="K945" i="3"/>
  <c r="L945" i="3"/>
  <c r="K944" i="3"/>
  <c r="L944" i="3"/>
  <c r="K943" i="3"/>
  <c r="L943" i="3"/>
  <c r="K942" i="3"/>
  <c r="L942" i="3"/>
  <c r="K941" i="3"/>
  <c r="L941" i="3"/>
  <c r="K940" i="3"/>
  <c r="L940" i="3"/>
  <c r="K939" i="3"/>
  <c r="L939" i="3"/>
  <c r="K938" i="3"/>
  <c r="L938" i="3"/>
  <c r="K937" i="3"/>
  <c r="L937" i="3"/>
  <c r="K936" i="3"/>
  <c r="L936" i="3"/>
  <c r="K935" i="3"/>
  <c r="L935" i="3"/>
  <c r="K934" i="3"/>
  <c r="L934" i="3"/>
  <c r="K933" i="3"/>
  <c r="L933" i="3"/>
  <c r="K932" i="3"/>
  <c r="L932" i="3"/>
  <c r="K931" i="3"/>
  <c r="L931" i="3"/>
  <c r="K930" i="3"/>
  <c r="L930" i="3"/>
  <c r="K929" i="3"/>
  <c r="L929" i="3"/>
  <c r="K928" i="3"/>
  <c r="L928" i="3"/>
  <c r="K927" i="3"/>
  <c r="L927" i="3"/>
  <c r="K926" i="3"/>
  <c r="L926" i="3"/>
  <c r="K925" i="3"/>
  <c r="L925" i="3"/>
  <c r="K924" i="3"/>
  <c r="L924" i="3"/>
  <c r="K923" i="3"/>
  <c r="L923" i="3"/>
  <c r="K922" i="3"/>
  <c r="L922" i="3"/>
  <c r="K921" i="3"/>
  <c r="L921" i="3"/>
  <c r="K920" i="3"/>
  <c r="L920" i="3"/>
  <c r="K919" i="3"/>
  <c r="L919" i="3"/>
  <c r="K918" i="3"/>
  <c r="L918" i="3"/>
  <c r="K917" i="3"/>
  <c r="L917" i="3"/>
  <c r="K916" i="3"/>
  <c r="L916" i="3"/>
  <c r="K915" i="3"/>
  <c r="L915" i="3"/>
  <c r="K914" i="3"/>
  <c r="L914" i="3"/>
  <c r="K913" i="3"/>
  <c r="L913" i="3"/>
  <c r="K912" i="3"/>
  <c r="L912" i="3"/>
  <c r="K911" i="3"/>
  <c r="L911" i="3"/>
  <c r="K910" i="3"/>
  <c r="L910" i="3"/>
  <c r="K909" i="3"/>
  <c r="L909" i="3"/>
  <c r="K908" i="3"/>
  <c r="L908" i="3"/>
  <c r="K907" i="3"/>
  <c r="L907" i="3"/>
  <c r="K906" i="3"/>
  <c r="L906" i="3"/>
  <c r="K905" i="3"/>
  <c r="L905" i="3"/>
  <c r="K904" i="3"/>
  <c r="L904" i="3"/>
  <c r="K903" i="3"/>
  <c r="L903" i="3"/>
  <c r="K902" i="3"/>
  <c r="L902" i="3"/>
  <c r="K900" i="3"/>
  <c r="L900" i="3"/>
  <c r="K899" i="3"/>
  <c r="L899" i="3"/>
  <c r="K898" i="3"/>
  <c r="L898" i="3"/>
  <c r="K897" i="3"/>
  <c r="L897" i="3"/>
  <c r="K896" i="3"/>
  <c r="L896" i="3"/>
  <c r="K895" i="3"/>
  <c r="L895" i="3"/>
  <c r="K894" i="3"/>
  <c r="L894" i="3"/>
  <c r="K893" i="3"/>
  <c r="L893" i="3"/>
  <c r="K892" i="3"/>
  <c r="L892" i="3"/>
  <c r="K891" i="3"/>
  <c r="L891" i="3"/>
  <c r="K890" i="3"/>
  <c r="L890" i="3"/>
  <c r="K889" i="3"/>
  <c r="L889" i="3"/>
  <c r="K888" i="3"/>
  <c r="L888" i="3"/>
  <c r="K887" i="3"/>
  <c r="L887" i="3"/>
  <c r="K886" i="3"/>
  <c r="L886" i="3"/>
  <c r="K885" i="3"/>
  <c r="L885" i="3"/>
  <c r="K884" i="3"/>
  <c r="L884" i="3"/>
  <c r="K883" i="3"/>
  <c r="L883" i="3"/>
  <c r="K882" i="3"/>
  <c r="L882" i="3"/>
  <c r="K881" i="3"/>
  <c r="L881" i="3"/>
  <c r="K880" i="3"/>
  <c r="L880" i="3"/>
  <c r="K879" i="3"/>
  <c r="L879" i="3"/>
  <c r="K878" i="3"/>
  <c r="L878" i="3"/>
  <c r="K877" i="3"/>
  <c r="L877" i="3"/>
  <c r="K876" i="3"/>
  <c r="L876" i="3"/>
  <c r="K875" i="3"/>
  <c r="L875" i="3"/>
  <c r="K874" i="3"/>
  <c r="L874" i="3"/>
  <c r="K873" i="3"/>
  <c r="L873" i="3"/>
  <c r="K872" i="3"/>
  <c r="L872" i="3"/>
  <c r="K871" i="3"/>
  <c r="L871" i="3"/>
  <c r="K870" i="3"/>
  <c r="L870" i="3"/>
  <c r="K869" i="3"/>
  <c r="L869" i="3"/>
  <c r="K868" i="3"/>
  <c r="L868" i="3"/>
  <c r="K867" i="3"/>
  <c r="L867" i="3"/>
  <c r="K866" i="3"/>
  <c r="L866" i="3"/>
  <c r="K865" i="3"/>
  <c r="L865" i="3"/>
  <c r="K864" i="3"/>
  <c r="L864" i="3"/>
  <c r="K863" i="3"/>
  <c r="L863" i="3"/>
  <c r="K862" i="3"/>
  <c r="L862" i="3"/>
  <c r="K861" i="3"/>
  <c r="L861" i="3"/>
  <c r="K860" i="3"/>
  <c r="L860" i="3"/>
  <c r="K859" i="3"/>
  <c r="L859" i="3"/>
  <c r="K858" i="3"/>
  <c r="L858" i="3"/>
  <c r="K857" i="3"/>
  <c r="L857" i="3"/>
  <c r="K856" i="3"/>
  <c r="L856" i="3"/>
  <c r="K855" i="3"/>
  <c r="L855" i="3"/>
  <c r="K854" i="3"/>
  <c r="L854" i="3"/>
  <c r="K853" i="3"/>
  <c r="L853" i="3"/>
  <c r="K852" i="3"/>
  <c r="L852" i="3"/>
  <c r="K851" i="3"/>
  <c r="L851" i="3"/>
  <c r="K850" i="3"/>
  <c r="L850" i="3"/>
  <c r="K849" i="3"/>
  <c r="L849" i="3"/>
  <c r="K848" i="3"/>
  <c r="L848" i="3"/>
  <c r="K847" i="3"/>
  <c r="L847" i="3"/>
  <c r="K846" i="3"/>
  <c r="L846" i="3"/>
  <c r="K845" i="3"/>
  <c r="L845" i="3"/>
  <c r="K844" i="3"/>
  <c r="L844" i="3"/>
  <c r="K843" i="3"/>
  <c r="L843" i="3"/>
  <c r="K842" i="3"/>
  <c r="L842" i="3"/>
  <c r="K841" i="3"/>
  <c r="L841" i="3"/>
  <c r="K840" i="3"/>
  <c r="L840" i="3"/>
  <c r="K839" i="3"/>
  <c r="L839" i="3"/>
  <c r="K838" i="3"/>
  <c r="L838" i="3"/>
  <c r="K837" i="3"/>
  <c r="L837" i="3"/>
  <c r="K836" i="3"/>
  <c r="L836" i="3"/>
  <c r="K835" i="3"/>
  <c r="L835" i="3"/>
  <c r="K834" i="3"/>
  <c r="L834" i="3"/>
  <c r="K833" i="3"/>
  <c r="L833" i="3"/>
  <c r="K832" i="3"/>
  <c r="L832" i="3"/>
  <c r="K831" i="3"/>
  <c r="L831" i="3"/>
  <c r="K830" i="3"/>
  <c r="L830" i="3"/>
  <c r="K829" i="3"/>
  <c r="L829" i="3"/>
  <c r="K828" i="3"/>
  <c r="L828" i="3"/>
  <c r="K827" i="3"/>
  <c r="L827" i="3"/>
  <c r="K826" i="3"/>
  <c r="L826" i="3"/>
  <c r="K825" i="3"/>
  <c r="L825" i="3"/>
  <c r="K824" i="3"/>
  <c r="L824" i="3"/>
  <c r="K823" i="3"/>
  <c r="L823" i="3"/>
  <c r="K822" i="3"/>
  <c r="L822" i="3"/>
  <c r="K821" i="3"/>
  <c r="L821" i="3"/>
  <c r="K820" i="3"/>
  <c r="L820" i="3"/>
  <c r="K819" i="3"/>
  <c r="L819" i="3"/>
  <c r="K818" i="3"/>
  <c r="L818" i="3"/>
  <c r="K817" i="3"/>
  <c r="L817" i="3"/>
  <c r="K816" i="3"/>
  <c r="L816" i="3"/>
  <c r="K815" i="3"/>
  <c r="L815" i="3"/>
  <c r="K814" i="3"/>
  <c r="L814" i="3"/>
  <c r="K813" i="3"/>
  <c r="L813" i="3"/>
  <c r="K812" i="3"/>
  <c r="L812" i="3"/>
  <c r="K811" i="3"/>
  <c r="L811" i="3"/>
  <c r="K810" i="3"/>
  <c r="L810" i="3"/>
  <c r="K809" i="3"/>
  <c r="L809" i="3"/>
  <c r="K808" i="3"/>
  <c r="L808" i="3"/>
  <c r="K807" i="3"/>
  <c r="L807" i="3"/>
  <c r="K806" i="3"/>
  <c r="L806" i="3"/>
  <c r="K805" i="3"/>
  <c r="L805" i="3"/>
  <c r="K804" i="3"/>
  <c r="L804" i="3"/>
  <c r="K803" i="3"/>
  <c r="L803" i="3"/>
  <c r="K802" i="3"/>
  <c r="L802" i="3"/>
  <c r="K801" i="3"/>
  <c r="L801" i="3"/>
  <c r="K800" i="3"/>
  <c r="L800" i="3"/>
  <c r="K799" i="3"/>
  <c r="L799" i="3"/>
  <c r="K798" i="3"/>
  <c r="L798" i="3"/>
  <c r="K797" i="3"/>
  <c r="L797" i="3"/>
  <c r="K796" i="3"/>
  <c r="L796" i="3"/>
  <c r="K795" i="3"/>
  <c r="L795" i="3"/>
  <c r="K794" i="3"/>
  <c r="L794" i="3"/>
  <c r="K793" i="3"/>
  <c r="L793" i="3"/>
  <c r="K792" i="3"/>
  <c r="L792" i="3"/>
  <c r="K791" i="3"/>
  <c r="L791" i="3"/>
  <c r="K790" i="3"/>
  <c r="L790" i="3"/>
  <c r="K789" i="3"/>
  <c r="L789" i="3"/>
  <c r="K788" i="3"/>
  <c r="L788" i="3"/>
  <c r="K787" i="3"/>
  <c r="L787" i="3"/>
  <c r="K786" i="3"/>
  <c r="L786" i="3"/>
  <c r="K785" i="3"/>
  <c r="L785" i="3"/>
  <c r="K784" i="3"/>
  <c r="L784" i="3"/>
  <c r="K783" i="3"/>
  <c r="L783" i="3"/>
  <c r="K782" i="3"/>
  <c r="L782" i="3"/>
  <c r="K781" i="3"/>
  <c r="L781" i="3"/>
  <c r="K780" i="3"/>
  <c r="L780" i="3"/>
  <c r="K779" i="3"/>
  <c r="L779" i="3"/>
  <c r="K778" i="3"/>
  <c r="L778" i="3"/>
  <c r="K777" i="3"/>
  <c r="L777" i="3"/>
  <c r="K776" i="3"/>
  <c r="L776" i="3"/>
  <c r="K775" i="3"/>
  <c r="L775" i="3"/>
  <c r="K774" i="3"/>
  <c r="L774" i="3"/>
  <c r="K773" i="3"/>
  <c r="L773" i="3"/>
  <c r="K772" i="3"/>
  <c r="L772" i="3"/>
  <c r="K771" i="3"/>
  <c r="L771" i="3"/>
  <c r="K770" i="3"/>
  <c r="L770" i="3"/>
  <c r="K769" i="3"/>
  <c r="L769" i="3"/>
  <c r="K768" i="3"/>
  <c r="L768" i="3"/>
  <c r="K767" i="3"/>
  <c r="L767" i="3"/>
  <c r="K766" i="3"/>
  <c r="L766" i="3"/>
  <c r="K765" i="3"/>
  <c r="L765" i="3"/>
  <c r="K764" i="3"/>
  <c r="L764" i="3"/>
  <c r="K763" i="3"/>
  <c r="L763" i="3"/>
  <c r="K762" i="3"/>
  <c r="L762" i="3"/>
  <c r="K761" i="3"/>
  <c r="L761" i="3"/>
  <c r="K760" i="3"/>
  <c r="L760" i="3"/>
  <c r="K759" i="3"/>
  <c r="L759" i="3"/>
  <c r="K758" i="3"/>
  <c r="L758" i="3"/>
  <c r="K757" i="3"/>
  <c r="L757" i="3"/>
  <c r="K756" i="3"/>
  <c r="L756" i="3"/>
  <c r="K755" i="3"/>
  <c r="L755" i="3"/>
  <c r="K754" i="3"/>
  <c r="L754" i="3"/>
  <c r="K753" i="3"/>
  <c r="L753" i="3"/>
  <c r="K752" i="3"/>
  <c r="L752" i="3"/>
  <c r="K751" i="3"/>
  <c r="L751" i="3"/>
  <c r="K750" i="3"/>
  <c r="L750" i="3"/>
  <c r="K749" i="3"/>
  <c r="L749" i="3"/>
  <c r="K748" i="3"/>
  <c r="L748" i="3"/>
  <c r="K747" i="3"/>
  <c r="L747" i="3"/>
  <c r="K746" i="3"/>
  <c r="L746" i="3"/>
  <c r="K745" i="3"/>
  <c r="L745" i="3"/>
  <c r="K744" i="3"/>
  <c r="L744" i="3"/>
  <c r="K743" i="3"/>
  <c r="L743" i="3"/>
  <c r="K742" i="3"/>
  <c r="L742" i="3"/>
  <c r="K741" i="3"/>
  <c r="L741" i="3"/>
  <c r="K740" i="3"/>
  <c r="L740" i="3"/>
  <c r="K739" i="3"/>
  <c r="L739" i="3"/>
  <c r="K738" i="3"/>
  <c r="L738" i="3"/>
  <c r="K737" i="3"/>
  <c r="L737" i="3"/>
  <c r="K736" i="3"/>
  <c r="L736" i="3"/>
  <c r="K735" i="3"/>
  <c r="L735" i="3"/>
  <c r="K734" i="3"/>
  <c r="L734" i="3"/>
  <c r="K733" i="3"/>
  <c r="L733" i="3"/>
  <c r="K732" i="3"/>
  <c r="L732" i="3"/>
  <c r="K731" i="3"/>
  <c r="L731" i="3"/>
  <c r="K730" i="3"/>
  <c r="L730" i="3"/>
  <c r="K729" i="3"/>
  <c r="L729" i="3"/>
  <c r="K728" i="3"/>
  <c r="L728" i="3"/>
  <c r="K727" i="3"/>
  <c r="L727" i="3"/>
  <c r="K726" i="3"/>
  <c r="L726" i="3"/>
  <c r="K725" i="3"/>
  <c r="L725" i="3"/>
  <c r="K724" i="3"/>
  <c r="L724" i="3"/>
  <c r="K723" i="3"/>
  <c r="L723" i="3"/>
  <c r="K722" i="3"/>
  <c r="L722" i="3"/>
  <c r="K721" i="3"/>
  <c r="L721" i="3"/>
  <c r="K720" i="3"/>
  <c r="L720" i="3"/>
  <c r="K719" i="3"/>
  <c r="L719" i="3"/>
  <c r="K718" i="3"/>
  <c r="L718" i="3"/>
  <c r="K717" i="3"/>
  <c r="L717" i="3"/>
  <c r="K716" i="3"/>
  <c r="L716" i="3"/>
  <c r="K715" i="3"/>
  <c r="L715" i="3"/>
  <c r="K714" i="3"/>
  <c r="L714" i="3"/>
  <c r="K713" i="3"/>
  <c r="L713" i="3"/>
  <c r="K712" i="3"/>
  <c r="L712" i="3"/>
  <c r="K711" i="3"/>
  <c r="L711" i="3"/>
  <c r="K710" i="3"/>
  <c r="L710" i="3"/>
  <c r="K709" i="3"/>
  <c r="L709" i="3"/>
  <c r="K708" i="3"/>
  <c r="L708" i="3"/>
  <c r="K707" i="3"/>
  <c r="L707" i="3"/>
  <c r="K706" i="3"/>
  <c r="L706" i="3"/>
  <c r="K705" i="3"/>
  <c r="L705" i="3"/>
  <c r="K704" i="3"/>
  <c r="L704" i="3"/>
  <c r="K703" i="3"/>
  <c r="L703" i="3"/>
  <c r="K702" i="3"/>
  <c r="L702" i="3"/>
  <c r="K701" i="3"/>
  <c r="L701" i="3"/>
  <c r="K700" i="3"/>
  <c r="L700" i="3"/>
  <c r="K699" i="3"/>
  <c r="L699" i="3"/>
  <c r="K698" i="3"/>
  <c r="L698" i="3"/>
  <c r="K697" i="3"/>
  <c r="L697" i="3"/>
  <c r="K696" i="3"/>
  <c r="L696" i="3"/>
  <c r="K695" i="3"/>
  <c r="L695" i="3"/>
  <c r="K694" i="3"/>
  <c r="L694" i="3"/>
  <c r="K693" i="3"/>
  <c r="L693" i="3"/>
  <c r="K692" i="3"/>
  <c r="L692" i="3"/>
  <c r="K691" i="3"/>
  <c r="L691" i="3"/>
  <c r="K690" i="3"/>
  <c r="L690" i="3"/>
  <c r="K689" i="3"/>
  <c r="L689" i="3"/>
  <c r="K688" i="3"/>
  <c r="L688" i="3"/>
  <c r="K687" i="3"/>
  <c r="L687" i="3"/>
  <c r="K686" i="3"/>
  <c r="L686" i="3"/>
  <c r="K685" i="3"/>
  <c r="L685" i="3"/>
  <c r="K684" i="3"/>
  <c r="L684" i="3"/>
  <c r="K683" i="3"/>
  <c r="L683" i="3"/>
  <c r="K682" i="3"/>
  <c r="L682" i="3"/>
  <c r="K681" i="3"/>
  <c r="L681" i="3"/>
  <c r="K680" i="3"/>
  <c r="L680" i="3"/>
  <c r="K679" i="3"/>
  <c r="L679" i="3"/>
  <c r="K678" i="3"/>
  <c r="L678" i="3"/>
  <c r="K677" i="3"/>
  <c r="L677" i="3"/>
  <c r="K676" i="3"/>
  <c r="L676" i="3"/>
  <c r="K675" i="3"/>
  <c r="L675" i="3"/>
  <c r="K674" i="3"/>
  <c r="L674" i="3"/>
  <c r="K673" i="3"/>
  <c r="L673" i="3"/>
  <c r="K672" i="3"/>
  <c r="L672" i="3"/>
  <c r="K671" i="3"/>
  <c r="L671" i="3"/>
  <c r="K670" i="3"/>
  <c r="L670" i="3"/>
  <c r="K669" i="3"/>
  <c r="L669" i="3"/>
  <c r="K668" i="3"/>
  <c r="L668" i="3"/>
  <c r="K667" i="3"/>
  <c r="L667" i="3"/>
  <c r="K666" i="3"/>
  <c r="L666" i="3"/>
  <c r="K665" i="3"/>
  <c r="L665" i="3"/>
  <c r="K664" i="3"/>
  <c r="L664" i="3"/>
  <c r="K663" i="3"/>
  <c r="L663" i="3"/>
  <c r="K662" i="3"/>
  <c r="L662" i="3"/>
  <c r="K661" i="3"/>
  <c r="L661" i="3"/>
  <c r="K660" i="3"/>
  <c r="L660" i="3"/>
  <c r="K659" i="3"/>
  <c r="L659" i="3"/>
  <c r="K658" i="3"/>
  <c r="L658" i="3"/>
  <c r="K657" i="3"/>
  <c r="L657" i="3"/>
  <c r="K656" i="3"/>
  <c r="L656" i="3"/>
  <c r="K655" i="3"/>
  <c r="L655" i="3"/>
  <c r="K654" i="3"/>
  <c r="L654" i="3"/>
  <c r="K653" i="3"/>
  <c r="L653" i="3"/>
  <c r="K652" i="3"/>
  <c r="L652" i="3"/>
  <c r="K651" i="3"/>
  <c r="L651" i="3"/>
  <c r="K650" i="3"/>
  <c r="L650" i="3"/>
  <c r="K649" i="3"/>
  <c r="L649" i="3"/>
  <c r="K648" i="3"/>
  <c r="L648" i="3"/>
  <c r="K647" i="3"/>
  <c r="L647" i="3"/>
  <c r="K646" i="3"/>
  <c r="L646" i="3"/>
  <c r="K645" i="3"/>
  <c r="L645" i="3"/>
  <c r="K644" i="3"/>
  <c r="L644" i="3"/>
  <c r="K643" i="3"/>
  <c r="L643" i="3"/>
  <c r="K642" i="3"/>
  <c r="L642" i="3"/>
  <c r="K641" i="3"/>
  <c r="L641" i="3"/>
  <c r="K640" i="3"/>
  <c r="L640" i="3"/>
  <c r="K639" i="3"/>
  <c r="L639" i="3"/>
  <c r="K638" i="3"/>
  <c r="L638" i="3"/>
  <c r="K637" i="3"/>
  <c r="L637" i="3"/>
  <c r="K636" i="3"/>
  <c r="L636" i="3"/>
  <c r="K635" i="3"/>
  <c r="L635" i="3"/>
  <c r="K634" i="3"/>
  <c r="L634" i="3"/>
  <c r="K633" i="3"/>
  <c r="L633" i="3"/>
  <c r="K632" i="3"/>
  <c r="L632" i="3"/>
  <c r="K631" i="3"/>
  <c r="L631" i="3"/>
  <c r="K630" i="3"/>
  <c r="L630" i="3"/>
  <c r="K629" i="3"/>
  <c r="L629" i="3"/>
  <c r="K628" i="3"/>
  <c r="L628" i="3"/>
  <c r="K627" i="3"/>
  <c r="L627" i="3"/>
  <c r="K626" i="3"/>
  <c r="L626" i="3"/>
  <c r="K625" i="3"/>
  <c r="L625" i="3"/>
  <c r="K624" i="3"/>
  <c r="L624" i="3"/>
  <c r="K623" i="3"/>
  <c r="L623" i="3"/>
  <c r="K622" i="3"/>
  <c r="L622" i="3"/>
  <c r="K621" i="3"/>
  <c r="L621" i="3"/>
  <c r="K620" i="3"/>
  <c r="L620" i="3"/>
  <c r="K619" i="3"/>
  <c r="L619" i="3"/>
  <c r="K618" i="3"/>
  <c r="L618" i="3"/>
  <c r="K617" i="3"/>
  <c r="L617" i="3"/>
  <c r="K616" i="3"/>
  <c r="L616" i="3"/>
  <c r="K615" i="3"/>
  <c r="L615" i="3"/>
  <c r="K614" i="3"/>
  <c r="L614" i="3"/>
  <c r="K613" i="3"/>
  <c r="L613" i="3"/>
  <c r="K612" i="3"/>
  <c r="L612" i="3"/>
  <c r="K611" i="3"/>
  <c r="L611" i="3"/>
  <c r="K610" i="3"/>
  <c r="L610" i="3"/>
  <c r="K609" i="3"/>
  <c r="L609" i="3"/>
  <c r="K608" i="3"/>
  <c r="L608" i="3"/>
  <c r="K607" i="3"/>
  <c r="L607" i="3"/>
  <c r="K606" i="3"/>
  <c r="L606" i="3"/>
  <c r="K605" i="3"/>
  <c r="L605" i="3"/>
  <c r="K604" i="3"/>
  <c r="L604" i="3"/>
  <c r="K603" i="3"/>
  <c r="L603" i="3"/>
  <c r="K602" i="3"/>
  <c r="L602" i="3"/>
  <c r="K601" i="3"/>
  <c r="L601" i="3"/>
  <c r="K600" i="3"/>
  <c r="L600" i="3"/>
  <c r="K599" i="3"/>
  <c r="L599" i="3"/>
  <c r="K598" i="3"/>
  <c r="L598" i="3"/>
  <c r="K597" i="3"/>
  <c r="L597" i="3"/>
  <c r="K596" i="3"/>
  <c r="L596" i="3"/>
  <c r="K595" i="3"/>
  <c r="L595" i="3"/>
  <c r="K594" i="3"/>
  <c r="L594" i="3"/>
  <c r="K593" i="3"/>
  <c r="L593" i="3"/>
  <c r="K592" i="3"/>
  <c r="L592" i="3"/>
  <c r="K591" i="3"/>
  <c r="L591" i="3"/>
  <c r="K590" i="3"/>
  <c r="L590" i="3"/>
  <c r="K589" i="3"/>
  <c r="L589" i="3"/>
  <c r="K588" i="3"/>
  <c r="L588" i="3"/>
  <c r="K587" i="3"/>
  <c r="L587" i="3"/>
  <c r="K586" i="3"/>
  <c r="L586" i="3"/>
  <c r="K585" i="3"/>
  <c r="L585" i="3"/>
  <c r="K584" i="3"/>
  <c r="L584" i="3"/>
  <c r="K583" i="3"/>
  <c r="L583" i="3"/>
  <c r="K582" i="3"/>
  <c r="L582" i="3"/>
  <c r="K581" i="3"/>
  <c r="L581" i="3"/>
  <c r="K580" i="3"/>
  <c r="L580" i="3"/>
  <c r="K579" i="3"/>
  <c r="L579" i="3"/>
  <c r="K578" i="3"/>
  <c r="L578" i="3"/>
  <c r="K577" i="3"/>
  <c r="L577" i="3"/>
  <c r="K576" i="3"/>
  <c r="L576" i="3"/>
  <c r="K575" i="3"/>
  <c r="L575" i="3"/>
  <c r="K574" i="3"/>
  <c r="L574" i="3"/>
  <c r="K573" i="3"/>
  <c r="L573" i="3"/>
  <c r="K572" i="3"/>
  <c r="L572" i="3"/>
  <c r="K571" i="3"/>
  <c r="L571" i="3"/>
  <c r="K570" i="3"/>
  <c r="L570" i="3"/>
  <c r="K569" i="3"/>
  <c r="L569" i="3"/>
  <c r="K568" i="3"/>
  <c r="L568" i="3"/>
  <c r="K567" i="3"/>
  <c r="L567" i="3"/>
  <c r="K566" i="3"/>
  <c r="L566" i="3"/>
  <c r="K565" i="3"/>
  <c r="L565" i="3"/>
  <c r="K564" i="3"/>
  <c r="L564" i="3"/>
  <c r="K563" i="3"/>
  <c r="L563" i="3"/>
  <c r="K562" i="3"/>
  <c r="L562" i="3"/>
  <c r="K561" i="3"/>
  <c r="L561" i="3"/>
  <c r="K560" i="3"/>
  <c r="L560" i="3"/>
  <c r="K559" i="3"/>
  <c r="L559" i="3"/>
  <c r="K558" i="3"/>
  <c r="L558" i="3"/>
  <c r="K557" i="3"/>
  <c r="L557" i="3"/>
  <c r="K556" i="3"/>
  <c r="L556" i="3"/>
  <c r="K555" i="3"/>
  <c r="L555" i="3"/>
  <c r="K554" i="3"/>
  <c r="L554" i="3"/>
  <c r="K553" i="3"/>
  <c r="L553" i="3"/>
  <c r="K552" i="3"/>
  <c r="L552" i="3"/>
  <c r="K551" i="3"/>
  <c r="L551" i="3"/>
  <c r="K550" i="3"/>
  <c r="L550" i="3"/>
  <c r="K549" i="3"/>
  <c r="L549" i="3"/>
  <c r="K548" i="3"/>
  <c r="L548" i="3"/>
  <c r="K547" i="3"/>
  <c r="L547" i="3"/>
  <c r="K546" i="3"/>
  <c r="L546" i="3"/>
  <c r="K545" i="3"/>
  <c r="L545" i="3"/>
  <c r="K544" i="3"/>
  <c r="L544" i="3"/>
  <c r="K543" i="3"/>
  <c r="L543" i="3"/>
  <c r="K542" i="3"/>
  <c r="L542" i="3"/>
  <c r="K541" i="3"/>
  <c r="L541" i="3"/>
  <c r="K540" i="3"/>
  <c r="L540" i="3"/>
  <c r="K539" i="3"/>
  <c r="L539" i="3"/>
  <c r="K538" i="3"/>
  <c r="L538" i="3"/>
  <c r="K537" i="3"/>
  <c r="L537" i="3"/>
  <c r="K536" i="3"/>
  <c r="L536" i="3"/>
  <c r="K535" i="3"/>
  <c r="L535" i="3"/>
  <c r="K534" i="3"/>
  <c r="L534" i="3"/>
  <c r="K533" i="3"/>
  <c r="L533" i="3"/>
  <c r="K532" i="3"/>
  <c r="L532" i="3"/>
  <c r="K531" i="3"/>
  <c r="L531" i="3"/>
  <c r="K530" i="3"/>
  <c r="L530" i="3"/>
  <c r="K529" i="3"/>
  <c r="L529" i="3"/>
  <c r="K528" i="3"/>
  <c r="L528" i="3"/>
  <c r="K527" i="3"/>
  <c r="L527" i="3"/>
  <c r="K526" i="3"/>
  <c r="L526" i="3"/>
  <c r="K525" i="3"/>
  <c r="L525" i="3"/>
  <c r="K524" i="3"/>
  <c r="L524" i="3"/>
  <c r="K523" i="3"/>
  <c r="L523" i="3"/>
  <c r="K522" i="3"/>
  <c r="L522" i="3"/>
  <c r="K521" i="3"/>
  <c r="L521" i="3"/>
  <c r="K520" i="3"/>
  <c r="L520" i="3"/>
  <c r="K519" i="3"/>
  <c r="L519" i="3"/>
  <c r="K518" i="3"/>
  <c r="L518" i="3"/>
  <c r="K517" i="3"/>
  <c r="L517" i="3"/>
  <c r="K516" i="3"/>
  <c r="L516" i="3"/>
  <c r="K515" i="3"/>
  <c r="L515" i="3"/>
  <c r="K514" i="3"/>
  <c r="L514" i="3"/>
  <c r="K513" i="3"/>
  <c r="L513" i="3"/>
  <c r="K512" i="3"/>
  <c r="L512" i="3"/>
  <c r="K511" i="3"/>
  <c r="L511" i="3"/>
  <c r="K510" i="3"/>
  <c r="L510" i="3"/>
  <c r="K509" i="3"/>
  <c r="L509" i="3"/>
  <c r="K508" i="3"/>
  <c r="L508" i="3"/>
  <c r="K507" i="3"/>
  <c r="L507" i="3"/>
  <c r="K506" i="3"/>
  <c r="L506" i="3"/>
  <c r="K505" i="3"/>
  <c r="L505" i="3"/>
  <c r="K504" i="3"/>
  <c r="L504" i="3"/>
  <c r="K503" i="3"/>
  <c r="L503" i="3"/>
  <c r="K502" i="3"/>
  <c r="L502" i="3"/>
  <c r="K501" i="3"/>
  <c r="L501" i="3"/>
  <c r="K500" i="3"/>
  <c r="L500" i="3"/>
  <c r="K499" i="3"/>
  <c r="L499" i="3"/>
  <c r="K498" i="3"/>
  <c r="L498" i="3"/>
  <c r="K497" i="3"/>
  <c r="L497" i="3"/>
  <c r="K496" i="3"/>
  <c r="L496" i="3"/>
  <c r="K495" i="3"/>
  <c r="L495" i="3"/>
  <c r="K494" i="3"/>
  <c r="L494" i="3"/>
  <c r="K493" i="3"/>
  <c r="L493" i="3"/>
  <c r="K492" i="3"/>
  <c r="L492" i="3"/>
  <c r="K491" i="3"/>
  <c r="L491" i="3"/>
  <c r="K490" i="3"/>
  <c r="L490" i="3"/>
  <c r="K489" i="3"/>
  <c r="L489" i="3"/>
  <c r="K488" i="3"/>
  <c r="L488" i="3"/>
  <c r="K487" i="3"/>
  <c r="L487" i="3"/>
  <c r="K486" i="3"/>
  <c r="L486" i="3"/>
  <c r="K485" i="3"/>
  <c r="L485" i="3"/>
  <c r="K484" i="3"/>
  <c r="L484" i="3"/>
  <c r="K483" i="3"/>
  <c r="L483" i="3"/>
  <c r="K482" i="3"/>
  <c r="L482" i="3"/>
  <c r="K481" i="3"/>
  <c r="L481" i="3"/>
  <c r="K480" i="3"/>
  <c r="L480" i="3"/>
  <c r="K479" i="3"/>
  <c r="L479" i="3"/>
  <c r="K478" i="3"/>
  <c r="L478" i="3"/>
  <c r="K477" i="3"/>
  <c r="L477" i="3"/>
  <c r="K476" i="3"/>
  <c r="L476" i="3"/>
  <c r="K475" i="3"/>
  <c r="L475" i="3"/>
  <c r="K474" i="3"/>
  <c r="L474" i="3"/>
  <c r="K473" i="3"/>
  <c r="L473" i="3"/>
  <c r="K472" i="3"/>
  <c r="L472" i="3"/>
  <c r="K471" i="3"/>
  <c r="L471" i="3"/>
  <c r="K470" i="3"/>
  <c r="L470" i="3"/>
  <c r="K469" i="3"/>
  <c r="L469" i="3"/>
  <c r="K468" i="3"/>
  <c r="L468" i="3"/>
  <c r="K467" i="3"/>
  <c r="L467" i="3"/>
  <c r="K466" i="3"/>
  <c r="L466" i="3"/>
  <c r="K465" i="3"/>
  <c r="L465" i="3"/>
  <c r="K464" i="3"/>
  <c r="L464" i="3"/>
  <c r="K463" i="3"/>
  <c r="L463" i="3"/>
  <c r="K462" i="3"/>
  <c r="L462" i="3"/>
  <c r="K461" i="3"/>
  <c r="L461" i="3"/>
  <c r="K460" i="3"/>
  <c r="L460" i="3"/>
  <c r="K459" i="3"/>
  <c r="L459" i="3"/>
  <c r="K458" i="3"/>
  <c r="L458" i="3"/>
  <c r="K457" i="3"/>
  <c r="L457" i="3"/>
  <c r="K456" i="3"/>
  <c r="L456" i="3"/>
  <c r="K455" i="3"/>
  <c r="L455" i="3"/>
  <c r="K454" i="3"/>
  <c r="L454" i="3"/>
  <c r="K453" i="3"/>
  <c r="L453" i="3"/>
  <c r="K452" i="3"/>
  <c r="L452" i="3"/>
  <c r="K451" i="3"/>
  <c r="L451" i="3"/>
  <c r="K450" i="3"/>
  <c r="L450" i="3"/>
  <c r="K449" i="3"/>
  <c r="L449" i="3"/>
  <c r="K448" i="3"/>
  <c r="L448" i="3"/>
  <c r="K447" i="3"/>
  <c r="L447" i="3"/>
  <c r="K446" i="3"/>
  <c r="L446" i="3"/>
  <c r="K445" i="3"/>
  <c r="L445" i="3"/>
  <c r="K444" i="3"/>
  <c r="L444" i="3"/>
  <c r="K443" i="3"/>
  <c r="L443" i="3"/>
  <c r="K442" i="3"/>
  <c r="L442" i="3"/>
  <c r="K441" i="3"/>
  <c r="L441" i="3"/>
  <c r="K440" i="3"/>
  <c r="L440" i="3"/>
  <c r="K439" i="3"/>
  <c r="L439" i="3"/>
  <c r="K438" i="3"/>
  <c r="L438" i="3"/>
  <c r="K437" i="3"/>
  <c r="L437" i="3"/>
  <c r="K436" i="3"/>
  <c r="L436" i="3"/>
  <c r="K435" i="3"/>
  <c r="L435" i="3"/>
  <c r="K434" i="3"/>
  <c r="L434" i="3"/>
  <c r="K433" i="3"/>
  <c r="L433" i="3"/>
  <c r="K432" i="3"/>
  <c r="L432" i="3"/>
  <c r="K431" i="3"/>
  <c r="L431" i="3"/>
  <c r="K430" i="3"/>
  <c r="L430" i="3"/>
  <c r="K429" i="3"/>
  <c r="L429" i="3"/>
  <c r="K428" i="3"/>
  <c r="L428" i="3"/>
  <c r="K427" i="3"/>
  <c r="L427" i="3"/>
  <c r="K426" i="3"/>
  <c r="L426" i="3"/>
  <c r="K425" i="3"/>
  <c r="L425" i="3"/>
  <c r="K424" i="3"/>
  <c r="L424" i="3"/>
  <c r="K423" i="3"/>
  <c r="L423" i="3"/>
  <c r="K422" i="3"/>
  <c r="L422" i="3"/>
  <c r="K421" i="3"/>
  <c r="L421" i="3"/>
  <c r="K420" i="3"/>
  <c r="L420" i="3"/>
  <c r="K419" i="3"/>
  <c r="L419" i="3"/>
  <c r="K418" i="3"/>
  <c r="L418" i="3"/>
  <c r="K417" i="3"/>
  <c r="L417" i="3"/>
  <c r="K416" i="3"/>
  <c r="L416" i="3"/>
  <c r="K415" i="3"/>
  <c r="L415" i="3"/>
  <c r="K414" i="3"/>
  <c r="L414" i="3"/>
  <c r="K413" i="3"/>
  <c r="L413" i="3"/>
  <c r="K412" i="3"/>
  <c r="L412" i="3"/>
  <c r="K411" i="3"/>
  <c r="L411" i="3"/>
  <c r="K410" i="3"/>
  <c r="L410" i="3"/>
  <c r="K409" i="3"/>
  <c r="L409" i="3"/>
  <c r="K408" i="3"/>
  <c r="L408" i="3"/>
  <c r="K407" i="3"/>
  <c r="L407" i="3"/>
  <c r="K406" i="3"/>
  <c r="L406" i="3"/>
  <c r="K405" i="3"/>
  <c r="L405" i="3"/>
  <c r="K404" i="3"/>
  <c r="L404" i="3"/>
  <c r="K403" i="3"/>
  <c r="L403" i="3"/>
  <c r="K402" i="3"/>
  <c r="L402" i="3"/>
  <c r="K401" i="3"/>
  <c r="L401" i="3"/>
  <c r="K400" i="3"/>
  <c r="L400" i="3"/>
  <c r="K399" i="3"/>
  <c r="L399" i="3"/>
  <c r="K398" i="3"/>
  <c r="L398" i="3"/>
  <c r="K397" i="3"/>
  <c r="L397" i="3"/>
  <c r="K396" i="3"/>
  <c r="L396" i="3"/>
  <c r="K395" i="3"/>
  <c r="L395" i="3"/>
  <c r="K394" i="3"/>
  <c r="L394" i="3"/>
  <c r="K393" i="3"/>
  <c r="L393" i="3"/>
  <c r="K392" i="3"/>
  <c r="L392" i="3"/>
  <c r="K391" i="3"/>
  <c r="L391" i="3"/>
  <c r="K390" i="3"/>
  <c r="L390" i="3"/>
  <c r="K389" i="3"/>
  <c r="L389" i="3"/>
  <c r="K388" i="3"/>
  <c r="L388" i="3"/>
  <c r="K387" i="3"/>
  <c r="L387" i="3"/>
  <c r="K386" i="3"/>
  <c r="L386" i="3"/>
  <c r="K385" i="3"/>
  <c r="L385" i="3"/>
  <c r="K384" i="3"/>
  <c r="L384" i="3"/>
  <c r="K383" i="3"/>
  <c r="L383" i="3"/>
  <c r="K382" i="3"/>
  <c r="L382" i="3"/>
  <c r="K381" i="3"/>
  <c r="L381" i="3"/>
  <c r="K380" i="3"/>
  <c r="L380" i="3"/>
  <c r="K379" i="3"/>
  <c r="L379" i="3"/>
  <c r="K378" i="3"/>
  <c r="L378" i="3"/>
  <c r="K377" i="3"/>
  <c r="L377" i="3"/>
  <c r="K375" i="3"/>
  <c r="L375" i="3"/>
  <c r="K374" i="3"/>
  <c r="L374" i="3"/>
  <c r="K373" i="3"/>
  <c r="L373" i="3"/>
  <c r="K372" i="3"/>
  <c r="L372" i="3"/>
  <c r="K371" i="3"/>
  <c r="L371" i="3"/>
  <c r="K370" i="3"/>
  <c r="L370" i="3"/>
  <c r="K369" i="3"/>
  <c r="L369" i="3"/>
  <c r="K368" i="3"/>
  <c r="L368" i="3"/>
  <c r="K367" i="3"/>
  <c r="L367" i="3"/>
  <c r="K366" i="3"/>
  <c r="L366" i="3"/>
  <c r="K365" i="3"/>
  <c r="L365" i="3"/>
  <c r="K364" i="3"/>
  <c r="L364" i="3"/>
  <c r="K363" i="3"/>
  <c r="L363" i="3"/>
  <c r="K362" i="3"/>
  <c r="L362" i="3"/>
  <c r="K361" i="3"/>
  <c r="L361" i="3"/>
  <c r="K360" i="3"/>
  <c r="L360" i="3"/>
  <c r="K359" i="3"/>
  <c r="L359" i="3"/>
  <c r="K358" i="3"/>
  <c r="L358" i="3"/>
  <c r="K357" i="3"/>
  <c r="L357" i="3"/>
  <c r="K356" i="3"/>
  <c r="L356" i="3"/>
  <c r="K355" i="3"/>
  <c r="L355" i="3"/>
  <c r="K354" i="3"/>
  <c r="L354" i="3"/>
  <c r="K353" i="3"/>
  <c r="L353" i="3"/>
  <c r="K352" i="3"/>
  <c r="L352" i="3"/>
  <c r="K351" i="3"/>
  <c r="L351" i="3"/>
  <c r="K350" i="3"/>
  <c r="L350" i="3"/>
  <c r="K349" i="3"/>
  <c r="L349" i="3"/>
  <c r="K348" i="3"/>
  <c r="L348" i="3"/>
  <c r="K347" i="3"/>
  <c r="L347" i="3"/>
  <c r="K346" i="3"/>
  <c r="L346" i="3"/>
  <c r="K345" i="3"/>
  <c r="L345" i="3"/>
  <c r="K344" i="3"/>
  <c r="L344" i="3"/>
  <c r="K343" i="3"/>
  <c r="L343" i="3"/>
  <c r="K342" i="3"/>
  <c r="L342" i="3"/>
  <c r="K341" i="3"/>
  <c r="L341" i="3"/>
  <c r="K340" i="3"/>
  <c r="L340" i="3"/>
  <c r="K339" i="3"/>
  <c r="L339" i="3"/>
  <c r="K338" i="3"/>
  <c r="L338" i="3"/>
  <c r="K337" i="3"/>
  <c r="L337" i="3"/>
  <c r="K336" i="3"/>
  <c r="L336" i="3"/>
  <c r="K335" i="3"/>
  <c r="L335" i="3"/>
  <c r="K334" i="3"/>
  <c r="L334" i="3"/>
  <c r="K333" i="3"/>
  <c r="L333" i="3"/>
  <c r="K332" i="3"/>
  <c r="L332" i="3"/>
  <c r="K331" i="3"/>
  <c r="L331" i="3"/>
  <c r="K330" i="3"/>
  <c r="L330" i="3"/>
  <c r="K329" i="3"/>
  <c r="L329" i="3"/>
  <c r="K328" i="3"/>
  <c r="L328" i="3"/>
  <c r="K327" i="3"/>
  <c r="L327" i="3"/>
  <c r="K326" i="3"/>
  <c r="L326" i="3"/>
  <c r="K325" i="3"/>
  <c r="L325" i="3"/>
  <c r="K324" i="3"/>
  <c r="L324" i="3"/>
  <c r="K323" i="3"/>
  <c r="L323" i="3"/>
  <c r="K322" i="3"/>
  <c r="L322" i="3"/>
  <c r="K321" i="3"/>
  <c r="L321" i="3"/>
  <c r="K320" i="3"/>
  <c r="L320" i="3"/>
  <c r="K319" i="3"/>
  <c r="L319" i="3"/>
  <c r="K318" i="3"/>
  <c r="L318" i="3"/>
  <c r="K317" i="3"/>
  <c r="L317" i="3"/>
  <c r="K316" i="3"/>
  <c r="L316" i="3"/>
  <c r="K315" i="3"/>
  <c r="L315" i="3"/>
  <c r="K314" i="3"/>
  <c r="L314" i="3"/>
  <c r="K313" i="3"/>
  <c r="L313" i="3"/>
  <c r="K312" i="3"/>
  <c r="L312" i="3"/>
  <c r="K311" i="3"/>
  <c r="L311" i="3"/>
  <c r="K310" i="3"/>
  <c r="L310" i="3"/>
  <c r="K309" i="3"/>
  <c r="L309" i="3"/>
  <c r="K308" i="3"/>
  <c r="L308" i="3"/>
  <c r="K307" i="3"/>
  <c r="L307" i="3"/>
  <c r="K306" i="3"/>
  <c r="L306" i="3"/>
  <c r="K305" i="3"/>
  <c r="L305" i="3"/>
  <c r="K304" i="3"/>
  <c r="L304" i="3"/>
  <c r="K303" i="3"/>
  <c r="L303" i="3"/>
  <c r="K302" i="3"/>
  <c r="L302" i="3"/>
  <c r="K301" i="3"/>
  <c r="L301" i="3"/>
  <c r="K300" i="3"/>
  <c r="L300" i="3"/>
  <c r="K299" i="3"/>
  <c r="L299" i="3"/>
  <c r="K298" i="3"/>
  <c r="L298" i="3"/>
  <c r="K297" i="3"/>
  <c r="L297" i="3"/>
  <c r="K296" i="3"/>
  <c r="L296" i="3"/>
  <c r="K295" i="3"/>
  <c r="L295" i="3"/>
  <c r="K294" i="3"/>
  <c r="L294" i="3"/>
  <c r="K293" i="3"/>
  <c r="L293" i="3"/>
  <c r="K292" i="3"/>
  <c r="L292" i="3"/>
  <c r="K291" i="3"/>
  <c r="L291" i="3"/>
  <c r="K290" i="3"/>
  <c r="L290" i="3"/>
  <c r="K289" i="3"/>
  <c r="L289" i="3"/>
  <c r="K288" i="3"/>
  <c r="L288" i="3"/>
  <c r="K287" i="3"/>
  <c r="L287" i="3"/>
  <c r="K286" i="3"/>
  <c r="L286" i="3"/>
  <c r="K285" i="3"/>
  <c r="L285" i="3"/>
  <c r="K284" i="3"/>
  <c r="L284" i="3"/>
  <c r="K283" i="3"/>
  <c r="L283" i="3"/>
  <c r="K282" i="3"/>
  <c r="L282" i="3"/>
  <c r="K281" i="3"/>
  <c r="L281" i="3"/>
  <c r="K280" i="3"/>
  <c r="L280" i="3"/>
  <c r="K279" i="3"/>
  <c r="L279" i="3"/>
  <c r="K278" i="3"/>
  <c r="L278" i="3"/>
  <c r="K277" i="3"/>
  <c r="L277" i="3"/>
  <c r="K276" i="3"/>
  <c r="L276" i="3"/>
  <c r="K275" i="3"/>
  <c r="L275" i="3"/>
  <c r="K274" i="3"/>
  <c r="L274" i="3"/>
  <c r="K273" i="3"/>
  <c r="L273" i="3"/>
  <c r="K272" i="3"/>
  <c r="L272" i="3"/>
  <c r="K271" i="3"/>
  <c r="L271" i="3"/>
  <c r="K270" i="3"/>
  <c r="L270" i="3"/>
  <c r="K269" i="3"/>
  <c r="L269" i="3"/>
  <c r="K268" i="3"/>
  <c r="L268" i="3"/>
  <c r="K267" i="3"/>
  <c r="L267" i="3"/>
  <c r="K266" i="3"/>
  <c r="L266" i="3"/>
  <c r="K265" i="3"/>
  <c r="L265" i="3"/>
  <c r="K264" i="3"/>
  <c r="L264" i="3"/>
  <c r="K263" i="3"/>
  <c r="L263" i="3"/>
  <c r="K262" i="3"/>
  <c r="L262" i="3"/>
  <c r="K261" i="3"/>
  <c r="L261" i="3"/>
  <c r="K260" i="3"/>
  <c r="L260" i="3"/>
  <c r="K259" i="3"/>
  <c r="L259" i="3"/>
  <c r="K258" i="3"/>
  <c r="L258" i="3"/>
  <c r="K257" i="3"/>
  <c r="L257" i="3"/>
  <c r="K256" i="3"/>
  <c r="L256" i="3"/>
  <c r="K255" i="3"/>
  <c r="L255" i="3"/>
  <c r="K254" i="3"/>
  <c r="L254" i="3"/>
  <c r="K253" i="3"/>
  <c r="L253" i="3"/>
  <c r="K252" i="3"/>
  <c r="L252" i="3"/>
  <c r="K251" i="3"/>
  <c r="L251" i="3"/>
  <c r="K250" i="3"/>
  <c r="L250" i="3"/>
  <c r="K249" i="3"/>
  <c r="L249" i="3"/>
  <c r="K248" i="3"/>
  <c r="L248" i="3"/>
  <c r="K247" i="3"/>
  <c r="L247" i="3"/>
  <c r="K246" i="3"/>
  <c r="L246" i="3"/>
  <c r="K245" i="3"/>
  <c r="L245" i="3"/>
  <c r="K244" i="3"/>
  <c r="L244" i="3"/>
  <c r="K243" i="3"/>
  <c r="L243" i="3"/>
  <c r="K242" i="3"/>
  <c r="L242" i="3"/>
  <c r="K241" i="3"/>
  <c r="L241" i="3"/>
  <c r="K240" i="3"/>
  <c r="L240" i="3"/>
  <c r="K239" i="3"/>
  <c r="L239" i="3"/>
  <c r="K238" i="3"/>
  <c r="L238" i="3"/>
  <c r="K237" i="3"/>
  <c r="L237" i="3"/>
  <c r="K236" i="3"/>
  <c r="L236" i="3"/>
  <c r="K235" i="3"/>
  <c r="L235" i="3"/>
  <c r="K234" i="3"/>
  <c r="L234" i="3"/>
  <c r="K233" i="3"/>
  <c r="L233" i="3"/>
  <c r="K232" i="3"/>
  <c r="L232" i="3"/>
  <c r="K231" i="3"/>
  <c r="L231" i="3"/>
  <c r="K230" i="3"/>
  <c r="L230" i="3"/>
  <c r="K229" i="3"/>
  <c r="L229" i="3"/>
  <c r="K228" i="3"/>
  <c r="L228" i="3"/>
  <c r="K227" i="3"/>
  <c r="L227" i="3"/>
  <c r="K226" i="3"/>
  <c r="L226" i="3"/>
  <c r="K225" i="3"/>
  <c r="L225" i="3"/>
  <c r="K224" i="3"/>
  <c r="L224" i="3"/>
  <c r="K223" i="3"/>
  <c r="L223" i="3"/>
  <c r="K222" i="3"/>
  <c r="L222" i="3"/>
  <c r="K221" i="3"/>
  <c r="L221" i="3"/>
  <c r="K220" i="3"/>
  <c r="L220" i="3"/>
  <c r="K219" i="3"/>
  <c r="L219" i="3"/>
  <c r="K218" i="3"/>
  <c r="L218" i="3"/>
  <c r="K217" i="3"/>
  <c r="L217" i="3"/>
  <c r="K216" i="3"/>
  <c r="L216" i="3"/>
  <c r="K215" i="3"/>
  <c r="L215" i="3"/>
  <c r="K214" i="3"/>
  <c r="L214" i="3"/>
  <c r="K213" i="3"/>
  <c r="L213" i="3"/>
  <c r="K212" i="3"/>
  <c r="L212" i="3"/>
  <c r="K211" i="3"/>
  <c r="L211" i="3"/>
  <c r="K210" i="3"/>
  <c r="L210" i="3"/>
  <c r="K209" i="3"/>
  <c r="L209" i="3"/>
  <c r="K208" i="3"/>
  <c r="L208" i="3"/>
  <c r="K207" i="3"/>
  <c r="L207" i="3"/>
  <c r="K206" i="3"/>
  <c r="L206" i="3"/>
  <c r="K205" i="3"/>
  <c r="L205" i="3"/>
  <c r="K204" i="3"/>
  <c r="L204" i="3"/>
  <c r="K203" i="3"/>
  <c r="L203" i="3"/>
  <c r="K202" i="3"/>
  <c r="L202" i="3"/>
  <c r="K201" i="3"/>
  <c r="L201" i="3"/>
  <c r="K200" i="3"/>
  <c r="L200" i="3"/>
  <c r="K199" i="3"/>
  <c r="L199" i="3"/>
  <c r="K198" i="3"/>
  <c r="L198" i="3"/>
  <c r="K197" i="3"/>
  <c r="L197" i="3"/>
  <c r="K196" i="3"/>
  <c r="L196" i="3"/>
  <c r="K195" i="3"/>
  <c r="L195" i="3"/>
  <c r="K194" i="3"/>
  <c r="L194" i="3"/>
  <c r="K193" i="3"/>
  <c r="L193" i="3"/>
  <c r="K192" i="3"/>
  <c r="L192" i="3"/>
  <c r="K191" i="3"/>
  <c r="L191" i="3"/>
  <c r="K190" i="3"/>
  <c r="L190" i="3"/>
  <c r="K189" i="3"/>
  <c r="L189" i="3"/>
  <c r="K188" i="3"/>
  <c r="L188" i="3"/>
  <c r="K187" i="3"/>
  <c r="L187" i="3"/>
  <c r="K186" i="3"/>
  <c r="L186" i="3"/>
  <c r="K185" i="3"/>
  <c r="L185" i="3"/>
  <c r="K184" i="3"/>
  <c r="L184" i="3"/>
  <c r="K183" i="3"/>
  <c r="L183" i="3"/>
  <c r="K182" i="3"/>
  <c r="L182" i="3"/>
  <c r="K181" i="3"/>
  <c r="L181" i="3"/>
  <c r="K180" i="3"/>
  <c r="L180" i="3"/>
  <c r="K179" i="3"/>
  <c r="L179" i="3"/>
  <c r="K178" i="3"/>
  <c r="L178" i="3"/>
  <c r="K177" i="3"/>
  <c r="L177" i="3"/>
  <c r="K176" i="3"/>
  <c r="L176" i="3"/>
  <c r="K175" i="3"/>
  <c r="L175" i="3"/>
  <c r="K174" i="3"/>
  <c r="L174" i="3"/>
  <c r="K173" i="3"/>
  <c r="L173" i="3"/>
  <c r="K172" i="3"/>
  <c r="L172" i="3"/>
  <c r="K171" i="3"/>
  <c r="L171" i="3"/>
  <c r="K170" i="3"/>
  <c r="L170" i="3"/>
  <c r="K169" i="3"/>
  <c r="L169" i="3"/>
  <c r="K168" i="3"/>
  <c r="L168" i="3"/>
  <c r="K167" i="3"/>
  <c r="L167" i="3"/>
  <c r="K166" i="3"/>
  <c r="L166" i="3"/>
  <c r="K165" i="3"/>
  <c r="L165" i="3"/>
  <c r="K164" i="3"/>
  <c r="L164" i="3"/>
  <c r="K163" i="3"/>
  <c r="L163" i="3"/>
  <c r="K162" i="3"/>
  <c r="L162" i="3"/>
  <c r="K161" i="3"/>
  <c r="L161" i="3"/>
  <c r="K160" i="3"/>
  <c r="L160" i="3"/>
  <c r="K159" i="3"/>
  <c r="L159" i="3"/>
  <c r="K158" i="3"/>
  <c r="L158" i="3"/>
  <c r="K157" i="3"/>
  <c r="L157" i="3"/>
  <c r="K156" i="3"/>
  <c r="L156" i="3"/>
  <c r="K155" i="3"/>
  <c r="L155" i="3"/>
  <c r="K154" i="3"/>
  <c r="L154" i="3"/>
  <c r="K153" i="3"/>
  <c r="L153" i="3"/>
  <c r="K152" i="3"/>
  <c r="L152" i="3"/>
  <c r="K151" i="3"/>
  <c r="L151" i="3"/>
  <c r="K150" i="3"/>
  <c r="L150" i="3"/>
  <c r="K149" i="3"/>
  <c r="L149" i="3"/>
  <c r="K148" i="3"/>
  <c r="L148" i="3"/>
  <c r="K147" i="3"/>
  <c r="L147" i="3"/>
  <c r="K146" i="3"/>
  <c r="L146" i="3"/>
  <c r="K145" i="3"/>
  <c r="L145" i="3"/>
  <c r="K144" i="3"/>
  <c r="L144" i="3"/>
  <c r="K143" i="3"/>
  <c r="L143" i="3"/>
  <c r="K142" i="3"/>
  <c r="L142" i="3"/>
  <c r="K141" i="3"/>
  <c r="L141" i="3"/>
  <c r="K140" i="3"/>
  <c r="L140" i="3"/>
  <c r="K139" i="3"/>
  <c r="L139" i="3"/>
  <c r="K138" i="3"/>
  <c r="L138" i="3"/>
  <c r="K137" i="3"/>
  <c r="L137" i="3"/>
  <c r="K136" i="3"/>
  <c r="L136" i="3"/>
  <c r="K135" i="3"/>
  <c r="L135" i="3"/>
  <c r="K134" i="3"/>
  <c r="L134" i="3"/>
  <c r="K133" i="3"/>
  <c r="L133" i="3"/>
  <c r="K132" i="3"/>
  <c r="L132" i="3"/>
  <c r="K131" i="3"/>
  <c r="L131" i="3"/>
  <c r="K130" i="3"/>
  <c r="L130" i="3"/>
  <c r="K129" i="3"/>
  <c r="L129" i="3"/>
  <c r="K128" i="3"/>
  <c r="L128" i="3"/>
  <c r="K127" i="3"/>
  <c r="L127" i="3"/>
  <c r="K126" i="3"/>
  <c r="L126" i="3"/>
  <c r="K125" i="3"/>
  <c r="L125" i="3"/>
  <c r="K124" i="3"/>
  <c r="L124" i="3"/>
  <c r="K123" i="3"/>
  <c r="L123" i="3"/>
  <c r="K122" i="3"/>
  <c r="L122" i="3"/>
  <c r="K121" i="3"/>
  <c r="L121" i="3"/>
  <c r="K120" i="3"/>
  <c r="L120" i="3"/>
  <c r="K119" i="3"/>
  <c r="L119" i="3"/>
  <c r="K118" i="3"/>
  <c r="L118" i="3"/>
  <c r="K117" i="3"/>
  <c r="L117" i="3"/>
  <c r="K116" i="3"/>
  <c r="L116" i="3"/>
  <c r="K115" i="3"/>
  <c r="L115" i="3"/>
  <c r="K114" i="3"/>
  <c r="L114" i="3"/>
  <c r="K113" i="3"/>
  <c r="L113" i="3"/>
  <c r="K112" i="3"/>
  <c r="L112" i="3"/>
  <c r="K111" i="3"/>
  <c r="L111" i="3"/>
  <c r="K110" i="3"/>
  <c r="L110" i="3"/>
  <c r="K109" i="3"/>
  <c r="L109" i="3"/>
  <c r="K108" i="3"/>
  <c r="L108" i="3"/>
  <c r="K107" i="3"/>
  <c r="L107" i="3"/>
  <c r="K106" i="3"/>
  <c r="L106" i="3"/>
  <c r="K105" i="3"/>
  <c r="L105" i="3"/>
  <c r="K104" i="3"/>
  <c r="L104" i="3"/>
  <c r="K103" i="3"/>
  <c r="L103" i="3"/>
  <c r="K102" i="3"/>
  <c r="L102" i="3"/>
  <c r="K101" i="3"/>
  <c r="L101" i="3"/>
  <c r="K100" i="3"/>
  <c r="L100" i="3"/>
  <c r="K99" i="3"/>
  <c r="L99" i="3"/>
  <c r="K98" i="3"/>
  <c r="L98" i="3"/>
  <c r="K97" i="3"/>
  <c r="L97" i="3"/>
  <c r="K96" i="3"/>
  <c r="L96" i="3"/>
  <c r="K95" i="3"/>
  <c r="L95" i="3"/>
  <c r="K94" i="3"/>
  <c r="L94" i="3"/>
  <c r="K93" i="3"/>
  <c r="L93" i="3"/>
  <c r="K92" i="3"/>
  <c r="L92" i="3"/>
  <c r="K91" i="3"/>
  <c r="L91" i="3"/>
  <c r="K90" i="3"/>
  <c r="L90" i="3"/>
  <c r="K89" i="3"/>
  <c r="L89" i="3"/>
  <c r="K88" i="3"/>
  <c r="L88" i="3"/>
  <c r="K87" i="3"/>
  <c r="L87" i="3"/>
  <c r="K86" i="3"/>
  <c r="L86" i="3"/>
  <c r="K85" i="3"/>
  <c r="L85" i="3"/>
  <c r="K84" i="3"/>
  <c r="L84" i="3"/>
  <c r="K83" i="3"/>
  <c r="L83" i="3"/>
  <c r="K82" i="3"/>
  <c r="L82" i="3"/>
  <c r="K81" i="3"/>
  <c r="L81" i="3"/>
  <c r="K80" i="3"/>
  <c r="L80" i="3"/>
  <c r="K79" i="3"/>
  <c r="L79" i="3"/>
  <c r="K78" i="3"/>
  <c r="L78" i="3"/>
  <c r="K77" i="3"/>
  <c r="L77" i="3"/>
  <c r="K76" i="3"/>
  <c r="L76" i="3"/>
  <c r="K75" i="3"/>
  <c r="L75" i="3"/>
  <c r="K74" i="3"/>
  <c r="L74" i="3"/>
  <c r="K73" i="3"/>
  <c r="L73" i="3"/>
  <c r="K72" i="3"/>
  <c r="L72" i="3"/>
  <c r="K71" i="3"/>
  <c r="L71" i="3"/>
  <c r="K70" i="3"/>
  <c r="L70" i="3"/>
  <c r="K69" i="3"/>
  <c r="L69" i="3"/>
  <c r="K68" i="3"/>
  <c r="L68" i="3"/>
  <c r="K67" i="3"/>
  <c r="L67" i="3"/>
  <c r="K66" i="3"/>
  <c r="L66" i="3"/>
  <c r="K65" i="3"/>
  <c r="L65" i="3"/>
  <c r="K64" i="3"/>
  <c r="L64" i="3"/>
  <c r="K63" i="3"/>
  <c r="L63" i="3"/>
  <c r="K62" i="3"/>
  <c r="L62" i="3"/>
  <c r="K61" i="3"/>
  <c r="L61" i="3"/>
  <c r="K60" i="3"/>
  <c r="L60" i="3"/>
  <c r="K59" i="3"/>
  <c r="L59" i="3"/>
  <c r="K58" i="3"/>
  <c r="L58" i="3"/>
  <c r="K57" i="3"/>
  <c r="L57" i="3"/>
  <c r="K56" i="3"/>
  <c r="L56" i="3"/>
  <c r="K55" i="3"/>
  <c r="L55" i="3"/>
  <c r="K54" i="3"/>
  <c r="L54" i="3"/>
  <c r="K53" i="3"/>
  <c r="L53" i="3"/>
  <c r="K52" i="3"/>
  <c r="L52" i="3"/>
  <c r="K51" i="3"/>
  <c r="L51" i="3"/>
  <c r="K50" i="3"/>
  <c r="L50" i="3"/>
  <c r="K49" i="3"/>
  <c r="L49" i="3"/>
  <c r="K48" i="3"/>
  <c r="L48" i="3"/>
  <c r="K47" i="3"/>
  <c r="L47" i="3"/>
  <c r="K46" i="3"/>
  <c r="L46" i="3"/>
  <c r="K45" i="3"/>
  <c r="L45" i="3"/>
  <c r="K44" i="3"/>
  <c r="L44" i="3"/>
  <c r="K43" i="3"/>
  <c r="L43" i="3"/>
  <c r="K42" i="3"/>
  <c r="L42" i="3"/>
  <c r="K41" i="3"/>
  <c r="L41" i="3"/>
  <c r="K40" i="3"/>
  <c r="L40" i="3"/>
  <c r="K39" i="3"/>
  <c r="L39" i="3"/>
  <c r="K38" i="3"/>
  <c r="L38" i="3"/>
  <c r="K37" i="3"/>
  <c r="L37" i="3"/>
  <c r="K36" i="3"/>
  <c r="L36" i="3"/>
  <c r="K35" i="3"/>
  <c r="L35" i="3"/>
  <c r="K34" i="3"/>
  <c r="L34" i="3"/>
  <c r="K33" i="3"/>
  <c r="L33" i="3"/>
  <c r="K32" i="3"/>
  <c r="L32" i="3"/>
  <c r="K31" i="3"/>
  <c r="L31" i="3"/>
  <c r="K30" i="3"/>
  <c r="L30" i="3"/>
  <c r="K29" i="3"/>
  <c r="L29" i="3"/>
  <c r="K28" i="3"/>
  <c r="L28" i="3"/>
  <c r="K27" i="3"/>
  <c r="L27" i="3"/>
  <c r="K26" i="3"/>
  <c r="L26" i="3"/>
  <c r="K25" i="3"/>
  <c r="L25" i="3"/>
  <c r="K24" i="3"/>
  <c r="L24" i="3"/>
  <c r="K23" i="3"/>
  <c r="L23" i="3"/>
  <c r="K22" i="3"/>
  <c r="L22" i="3"/>
  <c r="K21" i="3"/>
  <c r="L21" i="3"/>
  <c r="K20" i="3"/>
  <c r="L20" i="3"/>
  <c r="K19" i="3"/>
  <c r="L19" i="3"/>
  <c r="K18" i="3"/>
  <c r="L18" i="3"/>
  <c r="K17" i="3"/>
  <c r="L17" i="3"/>
  <c r="K16" i="3"/>
  <c r="L16" i="3"/>
  <c r="K15" i="3"/>
  <c r="L15" i="3"/>
  <c r="K14" i="3"/>
  <c r="L14" i="3"/>
  <c r="K13" i="3"/>
  <c r="L13" i="3"/>
  <c r="K12" i="3"/>
  <c r="L12" i="3"/>
  <c r="K11" i="3"/>
  <c r="L11" i="3"/>
  <c r="K10" i="3"/>
  <c r="L10" i="3"/>
  <c r="K9" i="3"/>
  <c r="L9" i="3"/>
  <c r="K8" i="3"/>
  <c r="L8" i="3"/>
  <c r="K7" i="3"/>
  <c r="L7" i="3"/>
  <c r="K6" i="3"/>
  <c r="L6" i="3"/>
  <c r="K5" i="3"/>
  <c r="L5" i="3"/>
  <c r="K4" i="3"/>
  <c r="L4" i="3"/>
  <c r="K3" i="3"/>
  <c r="L3" i="3"/>
  <c r="K2" i="3"/>
  <c r="L2" i="3"/>
  <c r="O2" i="3"/>
</calcChain>
</file>

<file path=xl/sharedStrings.xml><?xml version="1.0" encoding="utf-8"?>
<sst xmlns="http://schemas.openxmlformats.org/spreadsheetml/2006/main" count="8407" uniqueCount="161">
  <si>
    <t>Order_ID</t>
  </si>
  <si>
    <t>Date</t>
  </si>
  <si>
    <t>Product</t>
  </si>
  <si>
    <t>Category</t>
  </si>
  <si>
    <t>Region</t>
  </si>
  <si>
    <t>Salesperson</t>
  </si>
  <si>
    <t>Quantity</t>
  </si>
  <si>
    <t>Unit_Price</t>
  </si>
  <si>
    <t>Discount</t>
  </si>
  <si>
    <t>Monitor</t>
  </si>
  <si>
    <t>Electronics</t>
  </si>
  <si>
    <t>East</t>
  </si>
  <si>
    <t>Neha</t>
  </si>
  <si>
    <t>Keyboard</t>
  </si>
  <si>
    <t>North</t>
  </si>
  <si>
    <t>Arjun</t>
  </si>
  <si>
    <t>Laptop</t>
  </si>
  <si>
    <t>South</t>
  </si>
  <si>
    <t>Rahul</t>
  </si>
  <si>
    <t>Mouse</t>
  </si>
  <si>
    <t>Pooja</t>
  </si>
  <si>
    <t>Printer</t>
  </si>
  <si>
    <t>West</t>
  </si>
  <si>
    <t>Simran</t>
  </si>
  <si>
    <t>Priya</t>
  </si>
  <si>
    <t>Bookshelf</t>
  </si>
  <si>
    <t>Furniture</t>
  </si>
  <si>
    <t>Vikram</t>
  </si>
  <si>
    <t>Filing Cabinet</t>
  </si>
  <si>
    <t>Notebook</t>
  </si>
  <si>
    <t>Stationery</t>
  </si>
  <si>
    <t>Office Chair</t>
  </si>
  <si>
    <t>Amit</t>
  </si>
  <si>
    <t>Headphones</t>
  </si>
  <si>
    <t>Desk</t>
  </si>
  <si>
    <t>Whiteboard</t>
  </si>
  <si>
    <t>Office Supplies</t>
  </si>
  <si>
    <t>Desk Lamp</t>
  </si>
  <si>
    <t>Projector</t>
  </si>
  <si>
    <t>Pen Set</t>
  </si>
  <si>
    <t>Lapotp</t>
  </si>
  <si>
    <t>Noth</t>
  </si>
  <si>
    <t xml:space="preserve">
</t>
  </si>
  <si>
    <t>OfficeChair</t>
  </si>
  <si>
    <t>Electroncis</t>
  </si>
  <si>
    <t>gross sales</t>
  </si>
  <si>
    <t>net sale</t>
  </si>
  <si>
    <t>discount impact</t>
  </si>
  <si>
    <t>month</t>
  </si>
  <si>
    <t>AOV</t>
  </si>
  <si>
    <t>unknown</t>
  </si>
  <si>
    <t>total rows are 1000</t>
  </si>
  <si>
    <t xml:space="preserve">Total net sales by product</t>
  </si>
  <si>
    <t xml:space="preserve">Note: the dataset contained missing values, a duplicate order ID and inconsistent entries.</t>
  </si>
  <si>
    <t>(Multiple Items)</t>
  </si>
  <si>
    <t>Sum of net sale</t>
  </si>
  <si>
    <t xml:space="preserve">1. Laptop has the highest net sales.</t>
  </si>
  <si>
    <t xml:space="preserve">2. Pen Set has the lowest net sales.</t>
  </si>
  <si>
    <t xml:space="preserve">3. Yes, sales are concentrated in a few products, especially Laptop and Projector; the remaining products contribute much less.</t>
  </si>
  <si>
    <t xml:space="preserve">Note: this view shows the top 10 products.</t>
  </si>
  <si>
    <t>Grand Total</t>
  </si>
  <si>
    <t xml:space="preserve">Total net sales by category</t>
  </si>
  <si>
    <t xml:space="preserve">This analysis shows that Electronics contributes the highest sales and Stationery the lowest.</t>
  </si>
  <si>
    <t xml:space="preserve">Sales are highly concentrated in Electronics.</t>
  </si>
  <si>
    <t xml:space="preserve">Total net sales by region</t>
  </si>
  <si>
    <t xml:space="preserve">1. South has the highest sales and the unknown region has the lowest.</t>
  </si>
  <si>
    <t xml:space="preserve">2. Sales are spread fairly evenly across the four regions.</t>
  </si>
  <si>
    <t xml:space="preserve">Total net sales by salesperson</t>
  </si>
  <si>
    <t xml:space="preserve">1. Arjun has the highest sales and the unknown salesperson has the lowest.</t>
  </si>
  <si>
    <t>monthly net sales</t>
  </si>
  <si>
    <t>Jan</t>
  </si>
  <si>
    <t xml:space="preserve">1. December has the highest sales and May the lowest.</t>
  </si>
  <si>
    <t>Feb</t>
  </si>
  <si>
    <t xml:space="preserve">2. Sales fluctuate throughout the year.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</si>
  <si>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</si>
  <si>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</si>
  <si>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</si>
  <si>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</si>
  <si>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</si>
  <si>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</si>
  <si>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</si>
  <si>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</si>
  <si>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</si>
  <si>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</si>
  <si>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net sales by quantity</t>
  </si>
  <si>
    <t xml:space="preserve">1. The lowest quantity has the lowest sales and the highest quantity has the highest sales.</t>
  </si>
  <si>
    <t xml:space="preserve">Total net sales by discount</t>
  </si>
  <si>
    <t xml:space="preserve">The 12% discount has the highest sales and the 50% discount the lowest.</t>
  </si>
  <si>
    <t xml:space="preserve">Sales are mainly concentrated between 0-15%; the 50% discount has only 1 order, so it is likely an outlier.</t>
  </si>
  <si>
    <t>Product vs quantity</t>
  </si>
  <si>
    <t>Sum of Quantity</t>
  </si>
  <si>
    <t xml:space="preserve">1. Bookshelf has the highest quantity and Pen Set the lowest.</t>
  </si>
  <si>
    <t xml:space="preserve">2. Quantities are spread fairly evenly.</t>
  </si>
  <si>
    <t xml:space="preserve">This also shows that higher quantity does not always mean higher sales because product prices differ.</t>
  </si>
  <si>
    <t>category vs quantity</t>
  </si>
  <si>
    <t xml:space="preserve">1. Electronics has the highest quantity and Stationery the lowest.</t>
  </si>
  <si>
    <t xml:space="preserve">Quantity is concentrated in Electronics and Furniture.</t>
  </si>
  <si>
    <t xml:space="preserve">Region vs product vs net sales</t>
  </si>
  <si>
    <t xml:space="preserve">Laptop is the highest-selling product in every region; South has the highest Laptop sales of all regions.</t>
  </si>
  <si>
    <t xml:space="preserve">Region vs category vs net sales</t>
  </si>
  <si>
    <t xml:space="preserve">This also shows that most sales come from Electronics in every region, especially South.</t>
  </si>
  <si>
    <t xml:space="preserve">saleperson vs product </t>
  </si>
  <si>
    <t>month vs category</t>
  </si>
  <si>
    <t xml:space="preserve">Electronics performs best in all months, especially in May and December.</t>
  </si>
  <si>
    <t>AOV analysis</t>
  </si>
  <si>
    <t>top 10 products</t>
  </si>
  <si>
    <t>Average of net sale</t>
  </si>
  <si>
    <t>no overall impact</t>
  </si>
  <si>
    <t>gross sale by product</t>
  </si>
  <si>
    <t>Sum of gross sales</t>
  </si>
  <si>
    <t>gross sales by category</t>
  </si>
  <si>
    <t>gross sales by region</t>
  </si>
  <si>
    <t>gross sales by month</t>
  </si>
  <si>
    <t>gross sales vs net sales</t>
  </si>
  <si>
    <t>discount</t>
  </si>
  <si>
    <t>discount%</t>
  </si>
  <si>
    <t xml:space="preserve">                                             SALES DASHBOARD ANALYSIS</t>
  </si>
  <si>
    <t xml:space="preserve">                                                                                JANUARY 2025- DECEMBER 2025</t>
  </si>
  <si>
    <t>key insights</t>
  </si>
  <si>
    <t xml:space="preserve">1. Laptop has the highest product sales (about 33% of net sales).</t>
  </si>
  <si>
    <t xml:space="preserve">2. Electronics has the highest category sales (about 72% of net sales).</t>
  </si>
  <si>
    <t xml:space="preserve">3. South has the highest regional sales (about Rs 3.56 Cr).</t>
  </si>
  <si>
    <t xml:space="preserve">4. Sales are fairly spread across salespeople (highest: Arjun, about Rs 1.76 Cr; lowest: Simran, about Rs 1.15 Cr).</t>
  </si>
  <si>
    <t xml:space="preserve">5. December has the highest monthly sales (about Rs 1.61 Cr) and May the lowest (about Rs 0.72 Cr).</t>
  </si>
  <si>
    <t xml:space="preserve">6. 999 of 1,000 orders carry a discount of 0-15%; one order with a 50% discount is an outlier.</t>
  </si>
  <si>
    <t xml:space="preserve">7. Higher quantity is generally associated with higher net sales.</t>
  </si>
  <si>
    <t xml:space="preserve">8. Electronics leads sales in every region and every month.</t>
  </si>
  <si>
    <t xml:space="preserve">9. Laptop is the top-selling product in every named region and for 7 of 8 named salespeople (Simran: Projector).</t>
  </si>
  <si>
    <t xml:space="preserve">10. Missing or incorrect values were identified and handled; blank Region and Salesperson values are labelled "unknown".</t>
  </si>
  <si>
    <t>data dictionary</t>
  </si>
  <si>
    <t>gross sale- total sales amount i.e quantity*unit price</t>
  </si>
  <si>
    <t xml:space="preserve">net sale- net sale is defined as the total sale after discount </t>
  </si>
  <si>
    <t>average order value is defined as how much net sales do we get from one order</t>
  </si>
  <si>
    <t>Excel Sales Analysis Project</t>
  </si>
  <si>
    <t>Your goal</t>
  </si>
  <si>
    <t>Clean and analyze the raw sales data, then build an Excel dashboard.</t>
  </si>
  <si>
    <t>Phase 1 — Data Cleaning</t>
  </si>
  <si>
    <t>Inspect Raw_Data and identify data-quality problems before changing anything.</t>
  </si>
  <si>
    <t>Look for duplicates, missing values, inconsistent text, invalid numbers, and date issues.</t>
  </si>
  <si>
    <t>Do not ask for the list of problems first — find them yourself.</t>
  </si>
  <si>
    <t>Phase 2 — Analysis</t>
  </si>
  <si>
    <t>Calculate useful metrics such as total sales, total quantity, average order value, and profit-related insights if you add a suitable assumption.</t>
  </si>
  <si>
    <t>Use formulas, PivotTables, charts, and filters where appropriate.</t>
  </si>
  <si>
    <t>Phase 3 — Dashboard</t>
  </si>
  <si>
    <t>Create a clean management dashboard showing KPIs and useful trends by month, region, category, product, and salesperson.</t>
  </si>
  <si>
    <t>notes</t>
  </si>
  <si>
    <t>inconsistency of data</t>
  </si>
  <si>
    <t xml:space="preserve">Order ID 1074 appears twice in the dataset.</t>
  </si>
  <si>
    <t xml:space="preserve">Dates from 2024 (Order 1950) and 2026 (Order 1600) fall outside the 2025 analysis period.</t>
  </si>
  <si>
    <t xml:space="preserve">Missing values: Region (Order 1750), Salesperson (Order 1300) and Quantity (Order 1375). Quantity also has one negative value (Order 1900).</t>
  </si>
  <si>
    <t xml:space="preserve">Unit Price has one zero value (Order 1450).</t>
  </si>
  <si>
    <t xml:space="preserve">Product names were misspelled ("officechair", "lapotp") and were corrected to "Office Chair" and "Laptop".</t>
  </si>
  <si>
    <t xml:space="preserve">Region "Noth" was corrected to "North".</t>
  </si>
  <si>
    <t xml:space="preserve">The Category "Electronics" was misspelled in some rows and was corrected.</t>
  </si>
  <si>
    <t xml:space="preserve">data cleaning </t>
  </si>
  <si>
    <t xml:space="preserve">Blank Salesperson cells were replaced with "unknown" because the salesperson was not provided.</t>
  </si>
  <si>
    <t xml:space="preserve">The invalid negative Quantity was replaced with a blank.</t>
  </si>
  <si>
    <t xml:space="preserve">One missing Order ID was filled with 1980.</t>
  </si>
  <si>
    <t xml:space="preserve">The zero Unit Price (Order 1450, a Keyboard) was replaced with the Keyboard price of 1,200.</t>
  </si>
  <si>
    <t xml:space="preserve">The duplicate Order ID 1074 belonged to a different transaction, so the second one was renumbered to 1075 to keep IDs unique and in sequence.</t>
  </si>
  <si>
    <t xml:space="preserve">Blank Region cells were replaced with "unknown" because the region cannot be guessed.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</si>
</sst>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8"/>
      <color rgb="FF000000"/>
      <name val="Calibri"/>
      <charset val="1"/>
    </font>
    <font>
      <sz val="9"/>
      <color theme="1"/>
      <name val="Helvetica"/>
      <charset val="1"/>
    </font>
    <font>
      <sz val="8"/>
      <color rgb="FF000000"/>
      <name val="Calibri"/>
      <charset val="1"/>
    </font>
    <font>
      <b/>
      <sz val="12"/>
      <color rgb="FF000000"/>
      <name val="Calibri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8"/>
      <color theme="1"/>
      <name val="Helvetica"/>
      <charset val="1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b/>
      <sz val="20"/>
      <color rgb="FF000000"/>
      <name val="Calibri"/>
      <scheme val="minor"/>
    </font>
    <font>
      <b/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E5F5"/>
        <bgColor indexed="64"/>
      </patternFill>
    </fill>
    <fill>
      <patternFill patternType="solid">
        <fgColor rgb="FFD4DFEE"/>
        <bgColor indexed="64"/>
      </patternFill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0" xfId="0" applyFont="1" applyFill="1" applyBorder="1"/>
    <xf numFmtId="0" fontId="2" fillId="0" borderId="0" xfId="0" applyFont="1" applyBorder="1" applyAlignment="1">
      <alignment wrapText="1"/>
    </xf>
    <xf numFmtId="0" fontId="3" fillId="3" borderId="0" xfId="0" applyFont="1" applyFill="1" applyBorder="1"/>
    <xf numFmtId="15" fontId="3" fillId="3" borderId="0" xfId="0" applyNumberFormat="1" applyFont="1" applyFill="1" applyBorder="1"/>
    <xf numFmtId="3" fontId="3" fillId="3" borderId="0" xfId="0" applyNumberFormat="1" applyFont="1" applyFill="1" applyBorder="1"/>
    <xf numFmtId="9" fontId="3" fillId="3" borderId="0" xfId="0" applyNumberFormat="1" applyFont="1" applyFill="1" applyBorder="1"/>
    <xf numFmtId="0" fontId="3" fillId="0" borderId="0" xfId="0" applyFont="1" applyBorder="1"/>
    <xf numFmtId="15" fontId="3" fillId="0" borderId="0" xfId="0" applyNumberFormat="1" applyFont="1" applyBorder="1"/>
    <xf numFmtId="3" fontId="3" fillId="0" borderId="0" xfId="0" applyNumberFormat="1" applyFont="1" applyBorder="1"/>
    <xf numFmtId="9" fontId="3" fillId="0" borderId="0" xfId="0" applyNumberFormat="1" applyFont="1" applyBorder="1"/>
    <xf numFmtId="0" fontId="2" fillId="3" borderId="0" xfId="0" applyFont="1" applyFill="1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15" fontId="5" fillId="3" borderId="2" xfId="0" applyNumberFormat="1" applyFont="1" applyFill="1" applyBorder="1"/>
    <xf numFmtId="0" fontId="5" fillId="3" borderId="2" xfId="0" applyFont="1" applyFill="1" applyBorder="1"/>
    <xf numFmtId="3" fontId="5" fillId="3" borderId="2" xfId="0" applyNumberFormat="1" applyFont="1" applyFill="1" applyBorder="1"/>
    <xf numFmtId="15" fontId="5" fillId="0" borderId="2" xfId="0" applyNumberFormat="1" applyFont="1" applyBorder="1"/>
    <xf numFmtId="0" fontId="5" fillId="0" borderId="2" xfId="0" applyFont="1" applyBorder="1"/>
    <xf numFmtId="3" fontId="5" fillId="0" borderId="2" xfId="0" applyNumberFormat="1" applyFont="1" applyBorder="1"/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9" fontId="5" fillId="3" borderId="2" xfId="0" applyNumberFormat="1" applyFont="1" applyFill="1" applyBorder="1"/>
    <xf numFmtId="9" fontId="5" fillId="0" borderId="2" xfId="0" applyNumberFormat="1" applyFont="1" applyBorder="1"/>
    <xf numFmtId="0" fontId="6" fillId="2" borderId="0" xfId="0" applyFont="1" applyFill="1" applyBorder="1"/>
    <xf numFmtId="0" fontId="7" fillId="0" borderId="2" xfId="0" applyFont="1" applyBorder="1" applyAlignment="1">
      <alignment wrapText="1"/>
    </xf>
    <xf numFmtId="0" fontId="8" fillId="0" borderId="0" xfId="0" applyFont="1"/>
    <xf numFmtId="0" fontId="5" fillId="0" borderId="0" xfId="0" applyFont="1" applyBorder="1"/>
    <xf numFmtId="0" fontId="6" fillId="2" borderId="0" xfId="0" applyFont="1" applyFill="1"/>
    <xf numFmtId="2" fontId="6" fillId="2" borderId="0" xfId="0" applyNumberFormat="1" applyFont="1" applyFill="1"/>
    <xf numFmtId="2" fontId="5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NumberFormat="1"/>
    <xf numFmtId="0" fontId="6" fillId="2" borderId="0" xfId="0" applyFont="1" applyFill="1" applyBorder="1" applyAlignment="1">
      <alignment horizontal="center"/>
    </xf>
    <xf numFmtId="15" fontId="5" fillId="3" borderId="2" xfId="0" applyNumberFormat="1" applyFont="1" applyFill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numFmt numFmtId="20" formatCode="d\-mmm\-yy"/>
      <alignment horizontal="center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numFmt numFmtId="13" formatCode="0%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numFmt numFmtId="20" formatCode="d\-mmm\-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"/>
        <scheme val="none"/>
      </font>
      <fill>
        <patternFill patternType="solid">
          <fgColor indexed="64"/>
          <bgColor rgb="FFD1E5F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charset val="1"/>
        <scheme val="none"/>
      </font>
      <fill>
        <patternFill patternType="solid">
          <fgColor indexed="64"/>
          <bgColor rgb="FFD1E5F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'Pivot_Analysis'!$C$64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'Pivot_Analysis'!$B$65:$B$77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'Pivot_Analysis'!$C$65:$C$77</c:f>
              <c:numCache>
                <c:formatCode>General</c:formatCode>
                <c:ptCount val="12"/>
                <c:pt idx="0">
                  <c:v>8029750.4000000004</c:v>
                </c:pt>
                <c:pt idx="1">
                  <c:v>8829245.5</c:v>
                </c:pt>
                <c:pt idx="2">
                  <c:v>12495779.699999999</c:v>
                </c:pt>
                <c:pt idx="3">
                  <c:v>10499679.5</c:v>
                </c:pt>
                <c:pt idx="4">
                  <c:v>7159989.5</c:v>
                </c:pt>
                <c:pt idx="5">
                  <c:v>7935640.0999999996</c:v>
                </c:pt>
                <c:pt idx="6">
                  <c:v>12044775.5</c:v>
                </c:pt>
                <c:pt idx="7">
                  <c:v>12128867.799999999</c:v>
                </c:pt>
                <c:pt idx="8">
                  <c:v>9396245.3999999985</c:v>
                </c:pt>
                <c:pt idx="9">
                  <c:v>9430484.6999999993</c:v>
                </c:pt>
                <c:pt idx="10">
                  <c:v>7921911.7999999998</c:v>
                </c:pt>
                <c:pt idx="11">
                  <c:v>16099375.199999999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4-46ED-B71D-13E66AE03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377480"/>
        <c:axId val="941318663"/>
      </c:lineChart>
      <c:catAx>
        <c:axId val="75037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18663"/>
        <c:crosses val="autoZero"/>
        <c:auto val="1"/>
        <c:lblAlgn val="ctr"/>
        <c:lblOffset val="100"/>
        <c:noMultiLvlLbl val="0"/>
      </c:catAx>
      <c:valAx>
        <c:axId val="94131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50.xlsx]Pivot_Analysis!PivotTable14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'Pivot_Analysis'!$B$38:$B$43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'Pivot_Analysis'!$C$38:$C$43</c:f>
              <c:numCache>
                <c:formatCode>General</c:formatCode>
                <c:ptCount val="5"/>
                <c:pt idx="0">
                  <c:v>35560757.799999997</c:v>
                </c:pt>
                <c:pt idx="1">
                  <c:v>31444768.200000003</c:v>
                </c:pt>
                <c:pt idx="2">
                  <c:v>30729391</c:v>
                </c:pt>
                <c:pt idx="3">
                  <c:v>24225428.099999994</c:v>
                </c:pt>
                <c:pt idx="4">
                  <c:v>11400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B-40F9-AD0E-52072664B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380552"/>
        <c:axId val="750382600"/>
      </c:barChart>
      <c:catAx>
        <c:axId val="75038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82600"/>
        <c:crosses val="autoZero"/>
        <c:auto val="1"/>
        <c:lblAlgn val="ctr"/>
        <c:lblOffset val="100"/>
        <c:noMultiLvlLbl val="0"/>
      </c:catAx>
      <c:valAx>
        <c:axId val="7503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8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'Pivot_Analysis'!$B$28:$B$32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Stationery</c:v>
                </c:pt>
              </c:strCache>
            </c:strRef>
          </c:cat>
          <c:val>
            <c:numRef>
              <c:f>'Pivot_Analysis'!$C$28:$C$32</c:f>
              <c:numCache>
                <c:formatCode>General</c:formatCode>
                <c:ptCount val="4"/>
                <c:pt idx="0">
                  <c:v>88024634</c:v>
                </c:pt>
                <c:pt idx="1">
                  <c:v>29842920</c:v>
                </c:pt>
                <c:pt idx="2">
                  <c:v>3846320</c:v>
                </c:pt>
                <c:pt idx="3">
                  <c:v>257871.1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7-45D0-AC18-70B70CEB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453895"/>
        <c:axId val="678832648"/>
      </c:barChart>
      <c:catAx>
        <c:axId val="99645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32648"/>
        <c:crosses val="autoZero"/>
        <c:auto val="1"/>
        <c:lblAlgn val="ctr"/>
        <c:lblOffset val="100"/>
        <c:noMultiLvlLbl val="0"/>
      </c:catAx>
      <c:valAx>
        <c:axId val="67883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5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'Pivot_Analysis'!$H$212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'Pivot_Analysis'!$G$213:$G$223</c:f>
              <c:strCache>
                <c:ptCount val="10"/>
                <c:pt idx="0">
                  <c:v>Laptop</c:v>
                </c:pt>
                <c:pt idx="1">
                  <c:v>Projector</c:v>
                </c:pt>
                <c:pt idx="2">
                  <c:v>Monitor</c:v>
                </c:pt>
                <c:pt idx="3">
                  <c:v>Desk</c:v>
                </c:pt>
                <c:pt idx="4">
                  <c:v>Bookshelf</c:v>
                </c:pt>
                <c:pt idx="5">
                  <c:v>Printer</c:v>
                </c:pt>
                <c:pt idx="6">
                  <c:v>Office Chair</c:v>
                </c:pt>
                <c:pt idx="7">
                  <c:v>Filing Cabinet</c:v>
                </c:pt>
                <c:pt idx="8">
                  <c:v>Whiteboard</c:v>
                </c:pt>
                <c:pt idx="9">
                  <c:v>Headphones</c:v>
                </c:pt>
              </c:strCache>
            </c:strRef>
          </c:cat>
          <c:val>
            <c:numRef>
              <c:f>'Pivot_Analysis'!$H$213:$H$223</c:f>
              <c:numCache>
                <c:formatCode>General</c:formatCode>
                <c:ptCount val="10"/>
                <c:pt idx="0">
                  <c:v>40294200</c:v>
                </c:pt>
                <c:pt idx="1">
                  <c:v>22840860</c:v>
                </c:pt>
                <c:pt idx="2">
                  <c:v>13062240</c:v>
                </c:pt>
                <c:pt idx="3">
                  <c:v>9537150</c:v>
                </c:pt>
                <c:pt idx="4">
                  <c:v>9394770</c:v>
                </c:pt>
                <c:pt idx="5">
                  <c:v>9140460</c:v>
                </c:pt>
                <c:pt idx="6">
                  <c:v>5662020</c:v>
                </c:pt>
                <c:pt idx="7">
                  <c:v>5248980</c:v>
                </c:pt>
                <c:pt idx="8">
                  <c:v>2645090</c:v>
                </c:pt>
                <c:pt idx="9">
                  <c:v>1437550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5-47C8-BB9E-42076D1C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383240"/>
        <c:axId val="571425288"/>
      </c:barChart>
      <c:catAx>
        <c:axId val="428383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25288"/>
        <c:crosses val="autoZero"/>
        <c:auto val="1"/>
        <c:lblAlgn val="ctr"/>
        <c:lblOffset val="100"/>
        <c:noMultiLvlLbl val="0"/>
      </c:catAx>
      <c:valAx>
        <c:axId val="57142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8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'Pivot_Analysis'!$C$49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'Pivot_Analysis'!$B$50:$B$59</c:f>
              <c:strCache>
                <c:ptCount val="9"/>
                <c:pt idx="0">
                  <c:v>Amit</c:v>
                </c:pt>
                <c:pt idx="1">
                  <c:v>Arjun</c:v>
                </c:pt>
                <c:pt idx="2">
                  <c:v>Neha</c:v>
                </c:pt>
                <c:pt idx="3">
                  <c:v>Pooja</c:v>
                </c:pt>
                <c:pt idx="4">
                  <c:v>Priya</c:v>
                </c:pt>
                <c:pt idx="5">
                  <c:v>Rahul</c:v>
                </c:pt>
                <c:pt idx="6">
                  <c:v>Simran</c:v>
                </c:pt>
                <c:pt idx="7">
                  <c:v>unknown</c:v>
                </c:pt>
                <c:pt idx="8">
                  <c:v>Vikram</c:v>
                </c:pt>
              </c:strCache>
            </c:strRef>
          </c:cat>
          <c:val>
            <c:numRef>
              <c:f>'Pivot_Analysis'!$C$50:$C$59</c:f>
              <c:numCache>
                <c:formatCode>General</c:formatCode>
                <c:ptCount val="9"/>
                <c:pt idx="0">
                  <c:v>16284033.4</c:v>
                </c:pt>
                <c:pt idx="1">
                  <c:v>17637069</c:v>
                </c:pt>
                <c:pt idx="2">
                  <c:v>12298069.800000001</c:v>
                </c:pt>
                <c:pt idx="3">
                  <c:v>14949768.9</c:v>
                </c:pt>
                <c:pt idx="4">
                  <c:v>16309975.1</c:v>
                </c:pt>
                <c:pt idx="5">
                  <c:v>16689883.6</c:v>
                </c:pt>
                <c:pt idx="6">
                  <c:v>11538756.199999999</c:v>
                </c:pt>
                <c:pt idx="7">
                  <c:v>657800</c:v>
                </c:pt>
                <c:pt idx="8">
                  <c:v>15606389.1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E-432C-BF97-4B923FF5E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4160263"/>
        <c:axId val="1252513799"/>
      </c:barChart>
      <c:catAx>
        <c:axId val="94416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13799"/>
        <c:crosses val="autoZero"/>
        <c:auto val="1"/>
        <c:lblAlgn val="ctr"/>
        <c:lblOffset val="100"/>
        <c:noMultiLvlLbl val="0"/>
      </c:catAx>
      <c:valAx>
        <c:axId val="125251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6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'Pivot_Analysis'!$C$108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'Pivot_Analysis'!$B$109:$B$116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8%</c:v>
                </c:pt>
                <c:pt idx="3">
                  <c:v>10%</c:v>
                </c:pt>
                <c:pt idx="4">
                  <c:v>12%</c:v>
                </c:pt>
                <c:pt idx="5">
                  <c:v>15%</c:v>
                </c:pt>
                <c:pt idx="6">
                  <c:v>50%</c:v>
                </c:pt>
              </c:strCache>
            </c:strRef>
          </c:cat>
          <c:val>
            <c:numRef>
              <c:f>'Pivot_Analysis'!$C$109:$C$116</c:f>
              <c:numCache>
                <c:formatCode>General</c:formatCode>
                <c:ptCount val="7"/>
                <c:pt idx="0">
                  <c:v>18931240</c:v>
                </c:pt>
                <c:pt idx="1">
                  <c:v>22664245</c:v>
                </c:pt>
                <c:pt idx="2">
                  <c:v>20092965.599999998</c:v>
                </c:pt>
                <c:pt idx="3">
                  <c:v>19479609</c:v>
                </c:pt>
                <c:pt idx="4">
                  <c:v>24441780</c:v>
                </c:pt>
                <c:pt idx="5">
                  <c:v>16339405.5</c:v>
                </c:pt>
                <c:pt idx="6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6-4D1E-8B6C-B66ADC64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370759"/>
        <c:axId val="990998023"/>
      </c:barChart>
      <c:catAx>
        <c:axId val="855370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DISCOUNT%</a:t>
                </a:r>
              </a:p>
            </c:rich>
          </c:tx>
          <c:layout>
            <c:manualLayout>
              <c:xMode val="edge"/>
              <c:yMode val="edge"/>
              <c:x val="0.46226046109470692"/>
              <c:y val="0.88618091582139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98023"/>
        <c:crosses val="autoZero"/>
        <c:auto val="1"/>
        <c:lblAlgn val="ctr"/>
        <c:lblOffset val="100"/>
        <c:noMultiLvlLbl val="0"/>
      </c:catAx>
      <c:valAx>
        <c:axId val="99099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70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 - 2025</a:t>
            </a:r>
          </a:p>
        </c:rich>
      </c:tx>
      <c:layout>
        <c:manualLayout>
          <c:xMode val="edge"/>
          <c:yMode val="edge"/>
          <c:x val="0.30682442757977624"/>
          <c:y val="3.5375898289458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'Pivot_Analysis'!$C$64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'Pivot_Analysis'!$B$65:$B$77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'Pivot_Analysis'!$C$65:$C$77</c:f>
              <c:numCache>
                <c:formatCode>General</c:formatCode>
                <c:ptCount val="12"/>
                <c:pt idx="0">
                  <c:v>8029750.4000000004</c:v>
                </c:pt>
                <c:pt idx="1">
                  <c:v>8829245.5</c:v>
                </c:pt>
                <c:pt idx="2">
                  <c:v>12495779.699999999</c:v>
                </c:pt>
                <c:pt idx="3">
                  <c:v>10499679.5</c:v>
                </c:pt>
                <c:pt idx="4">
                  <c:v>7159989.5</c:v>
                </c:pt>
                <c:pt idx="5">
                  <c:v>7935640.0999999996</c:v>
                </c:pt>
                <c:pt idx="6">
                  <c:v>12044775.5</c:v>
                </c:pt>
                <c:pt idx="7">
                  <c:v>12128867.799999999</c:v>
                </c:pt>
                <c:pt idx="8">
                  <c:v>9396245.3999999985</c:v>
                </c:pt>
                <c:pt idx="9">
                  <c:v>9430484.6999999993</c:v>
                </c:pt>
                <c:pt idx="10">
                  <c:v>7921911.7999999998</c:v>
                </c:pt>
                <c:pt idx="11">
                  <c:v>16099375.199999999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4-43BB-8697-05AD974B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377480"/>
        <c:axId val="941318663"/>
      </c:lineChart>
      <c:catAx>
        <c:axId val="750377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18663"/>
        <c:crosses val="autoZero"/>
        <c:auto val="1"/>
        <c:lblAlgn val="ctr"/>
        <c:lblOffset val="100"/>
        <c:noMultiLvlLbl val="0"/>
      </c:catAx>
      <c:valAx>
        <c:axId val="941318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layout>
            <c:manualLayout>
              <c:xMode val="edge"/>
              <c:yMode val="edge"/>
              <c:x val="9.9509376118868606E-3"/>
              <c:y val="0.40056554791527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7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'Pivot_Analysis'!$B$38:$B$43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'Pivot_Analysis'!$C$38:$C$43</c:f>
              <c:numCache>
                <c:formatCode>General</c:formatCode>
                <c:ptCount val="5"/>
                <c:pt idx="0">
                  <c:v>35560757.799999997</c:v>
                </c:pt>
                <c:pt idx="1">
                  <c:v>31444768.200000003</c:v>
                </c:pt>
                <c:pt idx="2">
                  <c:v>30729391</c:v>
                </c:pt>
                <c:pt idx="3">
                  <c:v>24225428.099999994</c:v>
                </c:pt>
                <c:pt idx="4">
                  <c:v>11400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9-4B74-8BDA-5D787DC4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380552"/>
        <c:axId val="750382600"/>
      </c:barChart>
      <c:catAx>
        <c:axId val="750380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7842122034433876"/>
              <c:y val="0.88413284724500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82600"/>
        <c:crosses val="autoZero"/>
        <c:auto val="1"/>
        <c:lblAlgn val="ctr"/>
        <c:lblOffset val="100"/>
        <c:noMultiLvlLbl val="0"/>
      </c:catAx>
      <c:valAx>
        <c:axId val="750382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80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'Pivot_Analysis'!$B$28:$B$32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Stationery</c:v>
                </c:pt>
              </c:strCache>
            </c:strRef>
          </c:cat>
          <c:val>
            <c:numRef>
              <c:f>'Pivot_Analysis'!$C$28:$C$32</c:f>
              <c:numCache>
                <c:formatCode>General</c:formatCode>
                <c:ptCount val="4"/>
                <c:pt idx="0">
                  <c:v>88024634</c:v>
                </c:pt>
                <c:pt idx="1">
                  <c:v>29842920</c:v>
                </c:pt>
                <c:pt idx="2">
                  <c:v>3846320</c:v>
                </c:pt>
                <c:pt idx="3">
                  <c:v>257871.1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F-45BD-BEBC-244B5BFA0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453895"/>
        <c:axId val="678832648"/>
      </c:barChart>
      <c:catAx>
        <c:axId val="996453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50232739576733942"/>
              <c:y val="0.877308607266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832648"/>
        <c:crosses val="autoZero"/>
        <c:auto val="1"/>
        <c:lblAlgn val="ctr"/>
        <c:lblOffset val="100"/>
        <c:noMultiLvlLbl val="0"/>
      </c:catAx>
      <c:valAx>
        <c:axId val="678832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53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'Pivot_Analysis'!$H$212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'Pivot_Analysis'!$G$213:$G$223</c:f>
              <c:strCache>
                <c:ptCount val="10"/>
                <c:pt idx="0">
                  <c:v>Laptop</c:v>
                </c:pt>
                <c:pt idx="1">
                  <c:v>Projector</c:v>
                </c:pt>
                <c:pt idx="2">
                  <c:v>Monitor</c:v>
                </c:pt>
                <c:pt idx="3">
                  <c:v>Desk</c:v>
                </c:pt>
                <c:pt idx="4">
                  <c:v>Bookshelf</c:v>
                </c:pt>
                <c:pt idx="5">
                  <c:v>Printer</c:v>
                </c:pt>
                <c:pt idx="6">
                  <c:v>Office Chair</c:v>
                </c:pt>
                <c:pt idx="7">
                  <c:v>Filing Cabinet</c:v>
                </c:pt>
                <c:pt idx="8">
                  <c:v>Whiteboard</c:v>
                </c:pt>
                <c:pt idx="9">
                  <c:v>Headphones</c:v>
                </c:pt>
              </c:strCache>
            </c:strRef>
          </c:cat>
          <c:val>
            <c:numRef>
              <c:f>'Pivot_Analysis'!$H$213:$H$223</c:f>
              <c:numCache>
                <c:formatCode>General</c:formatCode>
                <c:ptCount val="10"/>
                <c:pt idx="0">
                  <c:v>40294200</c:v>
                </c:pt>
                <c:pt idx="1">
                  <c:v>22840860</c:v>
                </c:pt>
                <c:pt idx="2">
                  <c:v>13062240</c:v>
                </c:pt>
                <c:pt idx="3">
                  <c:v>9537150</c:v>
                </c:pt>
                <c:pt idx="4">
                  <c:v>9394770</c:v>
                </c:pt>
                <c:pt idx="5">
                  <c:v>9140460</c:v>
                </c:pt>
                <c:pt idx="6">
                  <c:v>5662020</c:v>
                </c:pt>
                <c:pt idx="7">
                  <c:v>5248980</c:v>
                </c:pt>
                <c:pt idx="8">
                  <c:v>2645090</c:v>
                </c:pt>
                <c:pt idx="9">
                  <c:v>1437550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E-4A6A-87E6-928D7DD6A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383240"/>
        <c:axId val="571425288"/>
      </c:barChart>
      <c:catAx>
        <c:axId val="428383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25288"/>
        <c:crosses val="autoZero"/>
        <c:auto val="1"/>
        <c:lblAlgn val="ctr"/>
        <c:lblOffset val="100"/>
        <c:noMultiLvlLbl val="0"/>
      </c:catAx>
      <c:valAx>
        <c:axId val="57142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layout>
            <c:manualLayout>
              <c:xMode val="edge"/>
              <c:yMode val="edge"/>
              <c:x val="0.45810502708995876"/>
              <c:y val="0.91312838278689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83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'Pivot_Analysis'!$C$49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'Pivot_Analysis'!$B$50:$B$59</c:f>
              <c:strCache>
                <c:ptCount val="9"/>
                <c:pt idx="0">
                  <c:v>Amit</c:v>
                </c:pt>
                <c:pt idx="1">
                  <c:v>Arjun</c:v>
                </c:pt>
                <c:pt idx="2">
                  <c:v>Neha</c:v>
                </c:pt>
                <c:pt idx="3">
                  <c:v>Pooja</c:v>
                </c:pt>
                <c:pt idx="4">
                  <c:v>Priya</c:v>
                </c:pt>
                <c:pt idx="5">
                  <c:v>Rahul</c:v>
                </c:pt>
                <c:pt idx="6">
                  <c:v>Simran</c:v>
                </c:pt>
                <c:pt idx="7">
                  <c:v>unknown</c:v>
                </c:pt>
                <c:pt idx="8">
                  <c:v>Vikram</c:v>
                </c:pt>
              </c:strCache>
            </c:strRef>
          </c:cat>
          <c:val>
            <c:numRef>
              <c:f>'Pivot_Analysis'!$C$50:$C$59</c:f>
              <c:numCache>
                <c:formatCode>General</c:formatCode>
                <c:ptCount val="9"/>
                <c:pt idx="0">
                  <c:v>16284033.4</c:v>
                </c:pt>
                <c:pt idx="1">
                  <c:v>17637069</c:v>
                </c:pt>
                <c:pt idx="2">
                  <c:v>12298069.800000001</c:v>
                </c:pt>
                <c:pt idx="3">
                  <c:v>14949768.9</c:v>
                </c:pt>
                <c:pt idx="4">
                  <c:v>16309975.1</c:v>
                </c:pt>
                <c:pt idx="5">
                  <c:v>16689883.6</c:v>
                </c:pt>
                <c:pt idx="6">
                  <c:v>11538756.199999999</c:v>
                </c:pt>
                <c:pt idx="7">
                  <c:v>657800</c:v>
                </c:pt>
                <c:pt idx="8">
                  <c:v>15606389.1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B-484B-80D3-2A50C8E76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4160263"/>
        <c:axId val="1252513799"/>
      </c:barChart>
      <c:catAx>
        <c:axId val="944160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13799"/>
        <c:crosses val="autoZero"/>
        <c:auto val="1"/>
        <c:lblAlgn val="ctr"/>
        <c:lblOffset val="100"/>
        <c:noMultiLvlLbl val="0"/>
      </c:catAx>
      <c:valAx>
        <c:axId val="125251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layout>
            <c:manualLayout>
              <c:xMode val="edge"/>
              <c:yMode val="edge"/>
              <c:x val="0.45102171933098206"/>
              <c:y val="0.90389957264957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60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50.xlsx]Pivot_Analysis!PivotTable10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'Pivot_Analysis'!$C$108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'Pivot_Analysis'!$B$109:$B$116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8%</c:v>
                </c:pt>
                <c:pt idx="3">
                  <c:v>10%</c:v>
                </c:pt>
                <c:pt idx="4">
                  <c:v>12%</c:v>
                </c:pt>
                <c:pt idx="5">
                  <c:v>15%</c:v>
                </c:pt>
                <c:pt idx="6">
                  <c:v>50%</c:v>
                </c:pt>
              </c:strCache>
            </c:strRef>
          </c:cat>
          <c:val>
            <c:numRef>
              <c:f>'Pivot_Analysis'!$C$109:$C$116</c:f>
              <c:numCache>
                <c:formatCode>General</c:formatCode>
                <c:ptCount val="7"/>
                <c:pt idx="0">
                  <c:v>18931240</c:v>
                </c:pt>
                <c:pt idx="1">
                  <c:v>22664245</c:v>
                </c:pt>
                <c:pt idx="2">
                  <c:v>20092965.599999998</c:v>
                </c:pt>
                <c:pt idx="3">
                  <c:v>19479609</c:v>
                </c:pt>
                <c:pt idx="4">
                  <c:v>24441780</c:v>
                </c:pt>
                <c:pt idx="5">
                  <c:v>16339405.5</c:v>
                </c:pt>
                <c:pt idx="6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6-477D-B20E-78ED9D18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370759"/>
        <c:axId val="990998023"/>
      </c:barChart>
      <c:catAx>
        <c:axId val="855370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DISCOUNT%</a:t>
                </a:r>
              </a:p>
            </c:rich>
          </c:tx>
          <c:layout>
            <c:manualLayout>
              <c:xMode val="edge"/>
              <c:yMode val="edge"/>
              <c:x val="0.46226046109470692"/>
              <c:y val="0.88618091582139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98023"/>
        <c:crosses val="autoZero"/>
        <c:auto val="1"/>
        <c:lblAlgn val="ctr"/>
        <c:lblOffset val="100"/>
        <c:noMultiLvlLbl val="0"/>
      </c:catAx>
      <c:valAx>
        <c:axId val="99099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70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62</xdr:row>
      <xdr:rowOff>38100</xdr:rowOff>
    </xdr:from>
    <xdr:to>
      <xdr:col>16</xdr:col>
      <xdr:colOff>228600</xdr:colOff>
      <xdr:row>76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CAB27-2D30-C347-6C0F-11BC98758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30</xdr:row>
      <xdr:rowOff>57150</xdr:rowOff>
    </xdr:from>
    <xdr:to>
      <xdr:col>17</xdr:col>
      <xdr:colOff>142875</xdr:colOff>
      <xdr:row>44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E840C6-71D6-7B73-2713-65EE6296083C}"/>
            </a:ext>
            <a:ext uri="{147F2762-F138-4A5C-976F-8EAC2B608ADB}">
              <a16:predDERef xmlns:a16="http://schemas.microsoft.com/office/drawing/2014/main" pred="{D82CAB27-2D30-C347-6C0F-11BC98758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581025</xdr:colOff>
      <xdr:row>14</xdr:row>
      <xdr:rowOff>95250</xdr:rowOff>
    </xdr:from>
    <xdr:to>
      <xdr:col>23</xdr:col>
      <xdr:colOff>476250</xdr:colOff>
      <xdr:row>28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CD06FD-183C-ED44-4E48-66C4C744F55A}"/>
            </a:ext>
            <a:ext uri="{147F2762-F138-4A5C-976F-8EAC2B608ADB}">
              <a16:predDERef xmlns:a16="http://schemas.microsoft.com/office/drawing/2014/main" pred="{0EE840C6-71D6-7B73-2713-65EE62960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209</xdr:row>
      <xdr:rowOff>104775</xdr:rowOff>
    </xdr:from>
    <xdr:to>
      <xdr:col>15</xdr:col>
      <xdr:colOff>600075</xdr:colOff>
      <xdr:row>223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18B73E-3F46-9105-9807-BB66DAFDB606}"/>
            </a:ext>
            <a:ext uri="{147F2762-F138-4A5C-976F-8EAC2B608ADB}">
              <a16:predDERef xmlns:a16="http://schemas.microsoft.com/office/drawing/2014/main" pred="{BCCD06FD-183C-ED44-4E48-66C4C744F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219075</xdr:colOff>
      <xdr:row>46</xdr:row>
      <xdr:rowOff>0</xdr:rowOff>
    </xdr:from>
    <xdr:to>
      <xdr:col>17</xdr:col>
      <xdr:colOff>257175</xdr:colOff>
      <xdr:row>60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FB898F-0ACF-5A4B-4BB5-9BB40837F7FC}"/>
            </a:ext>
            <a:ext uri="{147F2762-F138-4A5C-976F-8EAC2B608ADB}">
              <a16:predDERef xmlns:a16="http://schemas.microsoft.com/office/drawing/2014/main" pred="{FB18B73E-3F46-9105-9807-BB66DAFDB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409575</xdr:colOff>
      <xdr:row>105</xdr:row>
      <xdr:rowOff>66675</xdr:rowOff>
    </xdr:from>
    <xdr:to>
      <xdr:col>17</xdr:col>
      <xdr:colOff>714375</xdr:colOff>
      <xdr:row>119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6639000-3B8F-A3C1-A9F2-7B320C154390}"/>
            </a:ext>
            <a:ext uri="{147F2762-F138-4A5C-976F-8EAC2B608ADB}">
              <a16:predDERef xmlns:a16="http://schemas.microsoft.com/office/drawing/2014/main" pred="{24FB898F-0ACF-5A4B-4BB5-9BB40837F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314325</xdr:colOff>
      <xdr:row>38</xdr:row>
      <xdr:rowOff>38100</xdr:rowOff>
    </xdr:from>
    <xdr:to>
      <xdr:col>9</xdr:col>
      <xdr:colOff>485775</xdr:colOff>
      <xdr:row>52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Region">
              <a:extLst>
                <a:ext uri="{FF2B5EF4-FFF2-40B4-BE49-F238E27FC236}">
                  <a16:creationId xmlns:a16="http://schemas.microsoft.com/office/drawing/2014/main" id="{3B0C1773-BE83-5573-469A-28979402AADA}"/>
                </a:ext>
                <a:ext uri="{147F2762-F138-4A5C-976F-8EAC2B608ADB}">
                  <a16:predDERef xmlns:a16="http://schemas.microsoft.com/office/drawing/2014/main" pred="{76639000-3B8F-A3C1-A9F2-7B320C1543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7277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4</xdr:row>
      <xdr:rowOff>57150</xdr:rowOff>
    </xdr:from>
    <xdr:to>
      <xdr:col>3</xdr:col>
      <xdr:colOff>552450</xdr:colOff>
      <xdr:row>7</xdr:row>
      <xdr:rowOff>161925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454D5A8-F263-8648-CA0D-7F9FB8835734}"/>
            </a:ext>
          </a:extLst>
        </xdr:cNvPr>
        <xdr:cNvSpPr/>
      </xdr:nvSpPr>
      <xdr:spPr>
        <a:xfrm>
          <a:off x="1743075" y="962025"/>
          <a:ext cx="1428750" cy="6762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TOTAL NET SALES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Rs 12.20 Cr</a:t>
          </a:r>
        </a:p>
      </xdr:txBody>
    </xdr:sp>
    <xdr:clientData/>
  </xdr:twoCellAnchor>
  <xdr:twoCellAnchor>
    <xdr:from>
      <xdr:col>5</xdr:col>
      <xdr:colOff>76200</xdr:colOff>
      <xdr:row>4</xdr:row>
      <xdr:rowOff>57150</xdr:rowOff>
    </xdr:from>
    <xdr:to>
      <xdr:col>7</xdr:col>
      <xdr:colOff>371475</xdr:colOff>
      <xdr:row>7</xdr:row>
      <xdr:rowOff>152400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4E54C02-C806-4663-959C-B1415F7CF512}"/>
            </a:ext>
            <a:ext uri="{147F2762-F138-4A5C-976F-8EAC2B608ADB}">
              <a16:predDERef xmlns:a16="http://schemas.microsoft.com/office/drawing/2014/main" pred="{9454D5A8-F263-8648-CA0D-7F9FB8835734}"/>
            </a:ext>
          </a:extLst>
        </xdr:cNvPr>
        <xdr:cNvSpPr/>
      </xdr:nvSpPr>
      <xdr:spPr>
        <a:xfrm>
          <a:off x="3914775" y="962025"/>
          <a:ext cx="1514475" cy="6667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TOTAL ORDERS   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1,000</a:t>
          </a:r>
        </a:p>
      </xdr:txBody>
    </xdr:sp>
    <xdr:clientData/>
  </xdr:twoCellAnchor>
  <xdr:twoCellAnchor>
    <xdr:from>
      <xdr:col>9</xdr:col>
      <xdr:colOff>19050</xdr:colOff>
      <xdr:row>4</xdr:row>
      <xdr:rowOff>47625</xdr:rowOff>
    </xdr:from>
    <xdr:to>
      <xdr:col>11</xdr:col>
      <xdr:colOff>533400</xdr:colOff>
      <xdr:row>7</xdr:row>
      <xdr:rowOff>123825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4FCB5A3D-F603-457F-985B-1C01575639E1}"/>
            </a:ext>
            <a:ext uri="{147F2762-F138-4A5C-976F-8EAC2B608ADB}">
              <a16:predDERef xmlns:a16="http://schemas.microsoft.com/office/drawing/2014/main" pred="{F4E54C02-C806-4663-959C-B1415F7CF512}"/>
            </a:ext>
          </a:extLst>
        </xdr:cNvPr>
        <xdr:cNvSpPr/>
      </xdr:nvSpPr>
      <xdr:spPr>
        <a:xfrm>
          <a:off x="6296025" y="952500"/>
          <a:ext cx="1733550" cy="6477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    </a:t>
          </a:r>
          <a:r>
            <a:rPr lang="en-US" sz="1200" b="1">
              <a:solidFill>
                <a:schemeClr val="lt1"/>
              </a:solidFill>
              <a:latin typeface="+mn-lt"/>
              <a:ea typeface="+mn-lt"/>
              <a:cs typeface="+mn-lt"/>
            </a:rPr>
            <a:t>AOV </a:t>
          </a:r>
          <a:r>
            <a:rPr lang="en-US" sz="1200">
              <a:solidFill>
                <a:schemeClr val="lt1"/>
              </a:solidFill>
              <a:latin typeface="+mn-lt"/>
              <a:ea typeface="+mn-lt"/>
              <a:cs typeface="+mn-lt"/>
            </a:rPr>
            <a:t>Rs 1.22 Lakh</a:t>
          </a:r>
        </a:p>
      </xdr:txBody>
    </xdr:sp>
    <xdr:clientData/>
  </xdr:twoCellAnchor>
  <xdr:twoCellAnchor>
    <xdr:from>
      <xdr:col>13</xdr:col>
      <xdr:colOff>76200</xdr:colOff>
      <xdr:row>4</xdr:row>
      <xdr:rowOff>95250</xdr:rowOff>
    </xdr:from>
    <xdr:to>
      <xdr:col>15</xdr:col>
      <xdr:colOff>533400</xdr:colOff>
      <xdr:row>7</xdr:row>
      <xdr:rowOff>95250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F4583C4-280D-4D5E-9AE0-CC141794140E}"/>
            </a:ext>
            <a:ext uri="{147F2762-F138-4A5C-976F-8EAC2B608ADB}">
              <a16:predDERef xmlns:a16="http://schemas.microsoft.com/office/drawing/2014/main" pred="{4FCB5A3D-F603-457F-985B-1C01575639E1}"/>
            </a:ext>
          </a:extLst>
        </xdr:cNvPr>
        <xdr:cNvSpPr/>
      </xdr:nvSpPr>
      <xdr:spPr>
        <a:xfrm>
          <a:off x="8791575" y="1000125"/>
          <a:ext cx="1676400" cy="571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TOTAL QUANTITY: 10,659</a:t>
          </a:r>
        </a:p>
      </xdr:txBody>
    </xdr:sp>
    <xdr:clientData/>
  </xdr:twoCellAnchor>
  <xdr:twoCellAnchor>
    <xdr:from>
      <xdr:col>1</xdr:col>
      <xdr:colOff>790575</xdr:colOff>
      <xdr:row>9</xdr:row>
      <xdr:rowOff>9525</xdr:rowOff>
    </xdr:from>
    <xdr:to>
      <xdr:col>15</xdr:col>
      <xdr:colOff>581025</xdr:colOff>
      <xdr:row>30</xdr:row>
      <xdr:rowOff>171450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7FD3CDE0-4A60-4659-9711-F4758E5675F7}"/>
            </a:ext>
            <a:ext uri="{147F2762-F138-4A5C-976F-8EAC2B608ADB}">
              <a16:predDERef xmlns:a16="http://schemas.microsoft.com/office/drawing/2014/main" pred="{2F4583C4-280D-4D5E-9AE0-CC1417941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790575</xdr:colOff>
      <xdr:row>32</xdr:row>
      <xdr:rowOff>123825</xdr:rowOff>
    </xdr:from>
    <xdr:to>
      <xdr:col>8</xdr:col>
      <xdr:colOff>371475</xdr:colOff>
      <xdr:row>47</xdr:row>
      <xdr:rowOff>9525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779F3685-09BA-49B2-9743-F9F9A72EAE5B}"/>
            </a:ext>
            <a:ext uri="{147F2762-F138-4A5C-976F-8EAC2B608ADB}">
              <a16:predDERef xmlns:a16="http://schemas.microsoft.com/office/drawing/2014/main" pred="{7FD3CDE0-4A60-4659-9711-F4758E567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171450</xdr:colOff>
      <xdr:row>32</xdr:row>
      <xdr:rowOff>133350</xdr:rowOff>
    </xdr:from>
    <xdr:to>
      <xdr:col>16</xdr:col>
      <xdr:colOff>47625</xdr:colOff>
      <xdr:row>47</xdr:row>
      <xdr:rowOff>28575</xdr:rowOff>
    </xdr:to>
    <xdr:graphicFrame macro="">
      <xdr:nvGraphicFramePr>
        <xdr:cNvPr id="11" name="Chart 8">
          <a:extLst>
            <a:ext uri="{FF2B5EF4-FFF2-40B4-BE49-F238E27FC236}">
              <a16:creationId xmlns:a16="http://schemas.microsoft.com/office/drawing/2014/main" id="{25B4EE5D-A12D-4AFF-AE1A-674431CAE0F7}"/>
            </a:ext>
            <a:ext uri="{147F2762-F138-4A5C-976F-8EAC2B608ADB}">
              <a16:predDERef xmlns:a16="http://schemas.microsoft.com/office/drawing/2014/main" pred="{779F3685-09BA-49B2-9743-F9F9A72EA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771525</xdr:colOff>
      <xdr:row>48</xdr:row>
      <xdr:rowOff>171450</xdr:rowOff>
    </xdr:from>
    <xdr:to>
      <xdr:col>8</xdr:col>
      <xdr:colOff>447675</xdr:colOff>
      <xdr:row>66</xdr:row>
      <xdr:rowOff>114300</xdr:rowOff>
    </xdr:to>
    <xdr:graphicFrame macro="">
      <xdr:nvGraphicFramePr>
        <xdr:cNvPr id="12" name="Chart 9">
          <a:extLst>
            <a:ext uri="{FF2B5EF4-FFF2-40B4-BE49-F238E27FC236}">
              <a16:creationId xmlns:a16="http://schemas.microsoft.com/office/drawing/2014/main" id="{911FD99C-2D91-49C0-B762-8177D79D6922}"/>
            </a:ext>
            <a:ext uri="{147F2762-F138-4A5C-976F-8EAC2B608ADB}">
              <a16:predDERef xmlns:a16="http://schemas.microsoft.com/office/drawing/2014/main" pred="{25B4EE5D-A12D-4AFF-AE1A-674431CAE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200025</xdr:colOff>
      <xdr:row>49</xdr:row>
      <xdr:rowOff>19050</xdr:rowOff>
    </xdr:from>
    <xdr:to>
      <xdr:col>16</xdr:col>
      <xdr:colOff>504825</xdr:colOff>
      <xdr:row>66</xdr:row>
      <xdr:rowOff>123825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36850D03-3D29-40A3-B2CD-EEA3A2B41838}"/>
            </a:ext>
            <a:ext uri="{147F2762-F138-4A5C-976F-8EAC2B608ADB}">
              <a16:predDERef xmlns:a16="http://schemas.microsoft.com/office/drawing/2014/main" pred="{911FD99C-2D91-49C0-B762-8177D79D6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247650</xdr:colOff>
      <xdr:row>68</xdr:row>
      <xdr:rowOff>47625</xdr:rowOff>
    </xdr:from>
    <xdr:to>
      <xdr:col>12</xdr:col>
      <xdr:colOff>552450</xdr:colOff>
      <xdr:row>82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E43CF0-68E1-41DB-8E16-80B020D36B59}"/>
            </a:ext>
            <a:ext uri="{147F2762-F138-4A5C-976F-8EAC2B608ADB}">
              <a16:predDERef xmlns:a16="http://schemas.microsoft.com/office/drawing/2014/main" pred="{36850D03-3D29-40A3-B2CD-EEA3A2B41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2.965103240742" createdVersion="8" refreshedVersion="8" minRefreshableVersion="3" recordCount="1000" xr:uid="{8ADB22A1-8F83-4E2F-8338-8246982FE7D6}">
  <cacheSource type="worksheet">
    <worksheetSource name="Table2"/>
  </cacheSource>
  <cacheFields count="13">
    <cacheField name="Order_ID" numFmtId="0">
      <sharedItems containsSemiMixedTypes="0" containsString="0" containsNumber="1" containsInteger="1" minValue="1001" maxValue="2000"/>
    </cacheField>
    <cacheField name="Date" numFmtId="15">
      <sharedItems containsSemiMixedTypes="0" containsNonDate="0" containsDate="1" containsString="0" minDate="2024-06-20T00:00:00" maxDate="2026-12-16T00:00:00"/>
    </cacheField>
    <cacheField name="Product" numFmtId="0">
      <sharedItems count="15">
        <s v="Monitor"/>
        <s v="Keyboard"/>
        <s v="Laptop"/>
        <s v="Mouse"/>
        <s v="Printer"/>
        <s v="Bookshelf"/>
        <s v="Filing Cabinet"/>
        <s v="Notebook"/>
        <s v="Office Chair"/>
        <s v="Headphones"/>
        <s v="Desk"/>
        <s v="Whiteboard"/>
        <s v="Desk Lamp"/>
        <s v="Projector"/>
        <s v="Pen Set"/>
      </sharedItems>
    </cacheField>
    <cacheField name="Category" numFmtId="0">
      <sharedItems count="4">
        <s v="Electronics"/>
        <s v="Furniture"/>
        <s v="Stationery"/>
        <s v="Office Supplies"/>
      </sharedItems>
    </cacheField>
    <cacheField name="Region" numFmtId="0">
      <sharedItems count="6">
        <s v="East"/>
        <s v="North"/>
        <s v="South"/>
        <s v="West"/>
        <s v="unknown"/>
        <s v="Noth" u="1"/>
      </sharedItems>
    </cacheField>
    <cacheField name="Salesperson" numFmtId="0">
      <sharedItems count="9">
        <s v="Neha"/>
        <s v="Arjun"/>
        <s v="Rahul"/>
        <s v="Pooja"/>
        <s v="Simran"/>
        <s v="Priya"/>
        <s v="Vikram"/>
        <s v="Amit"/>
        <s v="unknown"/>
      </sharedItems>
    </cacheField>
    <cacheField name="Quantity" numFmtId="0">
      <sharedItems containsString="0" containsBlank="1" containsNumber="1" containsInteger="1" minValue="1" maxValue="20" count="21">
        <n v="1"/>
        <n v="4"/>
        <n v="3"/>
        <n v="18"/>
        <n v="7"/>
        <n v="12"/>
        <n v="8"/>
        <n v="9"/>
        <n v="6"/>
        <n v="2"/>
        <n v="19"/>
        <n v="13"/>
        <n v="20"/>
        <n v="17"/>
        <n v="16"/>
        <n v="14"/>
        <n v="11"/>
        <n v="15"/>
        <n v="10"/>
        <n v="5"/>
        <m/>
      </sharedItems>
    </cacheField>
    <cacheField name="Unit_Price" numFmtId="0">
      <sharedItems containsSemiMixedTypes="0" containsString="0" containsNumber="1" containsInteger="1" minValue="180" maxValue="55000"/>
    </cacheField>
    <cacheField name="Discount" numFmtId="9">
      <sharedItems containsSemiMixedTypes="0" containsString="0" containsNumber="1" minValue="0" maxValue="0.5" count="7">
        <n v="0.15"/>
        <n v="0.05"/>
        <n v="0.1"/>
        <n v="0.08"/>
        <n v="0.12"/>
        <n v="0"/>
        <n v="0.5"/>
      </sharedItems>
    </cacheField>
    <cacheField name="gross sales" numFmtId="0">
      <sharedItems containsString="0" containsBlank="1" containsNumber="1" containsInteger="1" minValue="180" maxValue="1100000"/>
    </cacheField>
    <cacheField name="net sale" numFmtId="2">
      <sharedItems containsString="0" containsBlank="1" containsNumber="1" minValue="158.4" maxValue="1100000" count="636">
        <n v="15300"/>
        <n v="4080"/>
        <n v="156750"/>
        <n v="12960"/>
        <n v="13300"/>
        <n v="7728"/>
        <n v="198720"/>
        <n v="39600"/>
        <n v="95040"/>
        <n v="1840"/>
        <n v="68850"/>
        <n v="14875"/>
        <n v="1320"/>
        <n v="65025"/>
        <n v="1472"/>
        <n v="12920"/>
        <n v="165750"/>
        <n v="8160"/>
        <n v="96900"/>
        <n v="7000"/>
        <n v="170000"/>
        <n v="234600"/>
        <n v="29808"/>
        <n v="45900"/>
        <n v="18480"/>
        <n v="209000"/>
        <n v="187000"/>
        <n v="34200"/>
        <n v="59850"/>
        <n v="9504"/>
        <n v="20825"/>
        <n v="2700"/>
        <n v="2208"/>
        <n v="800"/>
        <n v="3312"/>
        <n v="3800"/>
        <n v="50400"/>
        <n v="3220"/>
        <n v="71400"/>
        <n v="1980"/>
        <n v="120000"/>
        <n v="4500"/>
        <n v="122400"/>
        <n v="15600"/>
        <n v="166600"/>
        <n v="98000"/>
        <n v="940500"/>
        <n v="108000"/>
        <n v="324900"/>
        <n v="4180"/>
        <n v="2612.5"/>
        <n v="2250"/>
        <n v="264000"/>
        <n v="12512"/>
        <n v="13248"/>
        <n v="642600"/>
        <n v="695520"/>
        <n v="61200"/>
        <n v="53550"/>
        <n v="231840"/>
        <n v="135520"/>
        <n v="7920"/>
        <n v="49500"/>
        <n v="4600"/>
        <n v="190080"/>
        <n v="239400"/>
        <n v="1782"/>
        <n v="12600"/>
        <n v="11040"/>
        <n v="346500"/>
        <n v="28980"/>
        <n v="153900"/>
        <n v="115920"/>
        <n v="2520"/>
        <n v="174240"/>
        <n v="93500"/>
        <n v="1584"/>
        <n v="2762.5"/>
        <n v="10120"/>
        <n v="58520"/>
        <n v="92400"/>
        <n v="158400"/>
        <n v="2375"/>
        <n v="396000"/>
        <n v="32490"/>
        <n v="3400"/>
        <n v="2880"/>
        <n v="128250"/>
        <n v="6480"/>
        <n v="141680"/>
        <n v="8840"/>
        <n v="109480"/>
        <n v="10080"/>
        <n v="607200"/>
        <n v="2851.2"/>
        <n v="176400"/>
        <n v="162000"/>
        <n v="3325"/>
        <n v="167440"/>
        <n v="29900"/>
        <n v="12750"/>
        <n v="637.5"/>
        <n v="704"/>
        <n v="52800"/>
        <n v="159600"/>
        <n v="342000"/>
        <n v="1260"/>
        <n v="29750"/>
        <n v="130900"/>
        <n v="2750"/>
        <n v="86700"/>
        <n v="17340"/>
        <n v="148580"/>
        <n v="199500"/>
        <n v="809600"/>
        <n v="20700"/>
        <n v="888250"/>
        <n v="256500"/>
        <n v="3500"/>
        <n v="1324.8"/>
        <n v="118800"/>
        <n v="124200"/>
        <n v="1159.2"/>
        <n v="11776"/>
        <n v="103040"/>
        <n v="3078"/>
        <n v="36960"/>
        <n v="48600"/>
        <n v="475"/>
        <n v="2816"/>
        <n v="114750"/>
        <n v="180000"/>
        <n v="6120"/>
        <n v="21600"/>
        <n v="270000"/>
        <n v="119000"/>
        <n v="74800"/>
        <n v="229500"/>
        <n v="178200"/>
        <n v="654500"/>
        <n v="297000"/>
        <n v="107100"/>
        <n v="32200"/>
        <n v="153000"/>
        <n v="154000"/>
        <n v="680400"/>
        <n v="116160"/>
        <n v="6336"/>
        <n v="28800"/>
        <n v="10560"/>
        <n v="15840"/>
        <n v="31680"/>
        <n v="45080"/>
        <n v="161920"/>
        <n v="18810"/>
        <n v="588000"/>
        <n v="21060"/>
        <n v="17952"/>
        <n v="275400"/>
        <n v="210000"/>
        <n v="99450"/>
        <n v="1100000"/>
        <n v="486"/>
        <n v="12000"/>
        <n v="154560"/>
        <n v="324000"/>
        <n v="8640"/>
        <n v="225"/>
        <n v="193200"/>
        <n v="129600"/>
        <n v="11900"/>
        <n v="102600"/>
        <n v="52500"/>
        <n v="16560"/>
        <n v="19872"/>
        <n v="26496"/>
        <n v="85500"/>
        <n v="45500"/>
        <n v="19800"/>
        <n v="1800"/>
        <n v="2040"/>
        <n v="32300"/>
        <n v="60000"/>
        <n v="900"/>
        <n v="2052"/>
        <n v="504000"/>
        <n v="72675"/>
        <n v="1487.5"/>
        <n v="3520"/>
        <n v="14440"/>
        <n v="70000"/>
        <n v="94050"/>
        <n v="627000"/>
        <n v="26600"/>
        <n v="207000"/>
        <n v="16000"/>
        <n v="99000"/>
        <n v="244800"/>
        <n v="47500"/>
        <n v="150480"/>
        <n v="31280"/>
        <n v="126000"/>
        <n v="15400"/>
        <n v="82800"/>
        <n v="9200"/>
        <n v="61600"/>
        <n v="9180"/>
        <n v="313500"/>
        <n v="180"/>
        <n v="24000"/>
        <n v="3150"/>
        <n v="13600"/>
        <n v="3680"/>
        <n v="748000"/>
        <n v="130050"/>
        <n v="406560"/>
        <n v="13200"/>
        <n v="215280"/>
        <n v="21000"/>
        <n v="11875"/>
        <n v="4224"/>
        <n v="11250"/>
        <n v="2300"/>
        <n v="25000"/>
        <n v="137700"/>
        <n v="1610"/>
        <n v="55200"/>
        <n v="10800"/>
        <n v="16200"/>
        <n v="3420"/>
        <n v="1150"/>
        <n v="24840"/>
        <n v="4250"/>
        <n v="23750"/>
        <n v="6080"/>
        <n v="147840"/>
        <n v="798000"/>
        <n v="18000"/>
        <n v="80960"/>
        <n v="4275"/>
        <n v="168300"/>
        <n v="19320"/>
        <n v="629200"/>
        <n v="205200"/>
        <n v="438900"/>
        <n v="24480"/>
        <n v="9000"/>
        <n v="184800"/>
        <n v="8000"/>
        <n v="7480"/>
        <n v="43350"/>
        <n v="657800"/>
        <n v="9660"/>
        <n v="1881"/>
        <n v="6000"/>
        <n v="1520"/>
        <n v="125840"/>
        <n v="22540"/>
        <n v="22500"/>
        <n v="2430"/>
        <n v="2649.6"/>
        <n v="221760"/>
        <n v="49680"/>
        <n v="119700"/>
        <n v="580800"/>
        <n v="37500"/>
        <n v="21375"/>
        <n v="2565"/>
        <n v="90000"/>
        <n v="101200"/>
        <n v="88000"/>
        <n v="56000"/>
        <n v="119680"/>
        <n v="3910"/>
        <n v="144500"/>
        <n v="6624"/>
        <n v="165600"/>
        <n v="961400"/>
        <n v="9568"/>
        <n v="7744"/>
        <n v="1944"/>
        <n v="40480"/>
        <n v="160160"/>
        <n v="148500"/>
        <n v="132480"/>
        <n v="715000"/>
        <n v="37800"/>
        <n v="5000"/>
        <n v="24200"/>
        <n v="11880"/>
        <n v="29070"/>
        <n v="628320"/>
        <n v="38640"/>
        <n v="76500"/>
        <n v="79200"/>
        <n v="1408"/>
        <n v="9856"/>
        <n v="19380"/>
        <n v="88825"/>
        <n v="1071"/>
        <n v="38250"/>
        <m/>
        <n v="25760"/>
        <n v="1912.5"/>
        <n v="162450"/>
        <n v="79475"/>
        <n v="17500"/>
        <n v="25920"/>
        <n v="28000"/>
        <n v="51000"/>
        <n v="33120"/>
        <n v="2944"/>
        <n v="84000"/>
        <n v="1662.5"/>
        <n v="6750"/>
        <n v="1360"/>
        <n v="13260"/>
        <n v="67500"/>
        <n v="154880"/>
        <n v="52250"/>
        <n v="27000"/>
        <n v="175500"/>
        <n v="9600"/>
        <n v="4050"/>
        <n v="171000"/>
        <n v="677600"/>
        <n v="63360"/>
        <n v="13680"/>
        <n v="95200"/>
        <n v="59500"/>
        <n v="24640"/>
        <n v="27600"/>
        <n v="113050"/>
        <n v="56700"/>
        <n v="189000"/>
        <n v="177650"/>
        <n v="149600"/>
        <n v="56525"/>
        <n v="425040"/>
        <n v="612"/>
        <n v="112200"/>
        <n v="36575"/>
        <n v="992750"/>
        <n v="183920"/>
        <n v="8360"/>
        <n v="111320"/>
        <n v="27540"/>
        <n v="151800"/>
        <n v="15000"/>
        <n v="87120"/>
        <n v="558600"/>
        <n v="9120"/>
        <n v="97240"/>
        <n v="330000"/>
        <n v="33880"/>
        <n v="338800"/>
        <n v="73920"/>
        <n v="475.2"/>
        <n v="68000"/>
        <n v="445500"/>
        <n v="128700"/>
        <n v="64400"/>
        <n v="63000"/>
        <n v="10000"/>
        <n v="495000"/>
        <n v="12672"/>
        <n v="9936"/>
        <n v="97200"/>
        <n v="41400"/>
        <n v="84150"/>
        <n v="13500"/>
        <n v="56100"/>
        <n v="63750"/>
        <n v="1062.5"/>
        <n v="561000"/>
        <n v="2850"/>
        <n v="49000"/>
        <n v="11560"/>
        <n v="108375"/>
        <n v="21560"/>
        <n v="23800"/>
        <n v="850"/>
        <n v="20520"/>
        <n v="113400"/>
        <n v="15750"/>
        <n v="591360"/>
        <n v="161500"/>
        <n v="12240"/>
        <n v="66500"/>
        <n v="660000"/>
        <n v="480480"/>
        <n v="178500"/>
        <n v="98560"/>
        <n v="126720"/>
        <n v="57960"/>
        <n v="11200"/>
        <n v="42750"/>
        <n v="123200"/>
        <n v="40950"/>
        <n v="3000"/>
        <n v="264600"/>
        <n v="3600"/>
        <n v="25200"/>
        <n v="12800"/>
        <n v="3750"/>
        <n v="499800"/>
        <n v="10400"/>
        <n v="1250"/>
        <n v="3562.5"/>
        <n v="12320"/>
        <n v="193600"/>
        <n v="17100"/>
        <n v="10880"/>
        <n v="59400"/>
        <n v="40040"/>
        <n v="2340"/>
        <n v="28600"/>
        <n v="237600"/>
        <n v="1080"/>
        <n v="10625"/>
        <n v="24300"/>
        <n v="270750"/>
        <n v="110000"/>
        <n v="30875"/>
        <n v="46550"/>
        <n v="18216"/>
        <n v="20900"/>
        <n v="248400"/>
        <n v="165000"/>
        <n v="136800"/>
        <n v="110880"/>
        <n v="233750"/>
        <n v="546000"/>
        <n v="8832"/>
        <n v="1821.6000000000001"/>
        <n v="125400"/>
        <n v="188100"/>
        <n v="7560"/>
        <n v="81000"/>
        <n v="25650"/>
        <n v="825000"/>
        <n v="4416"/>
        <n v="968000"/>
        <n v="1104"/>
        <n v="774400"/>
        <n v="79800"/>
        <n v="8448"/>
        <n v="104500"/>
        <n v="387200"/>
        <n v="13800"/>
        <n v="993.6"/>
        <n v="45000"/>
        <n v="2059.1999999999998"/>
        <n v="1020"/>
        <n v="11220"/>
        <n v="470250"/>
        <n v="47600"/>
        <n v="40500"/>
        <n v="1900"/>
        <n v="12880"/>
        <n v="4968"/>
        <n v="182160"/>
        <n v="32400"/>
        <n v="21528"/>
        <n v="49875"/>
        <n v="2160"/>
        <n v="205920"/>
        <n v="5280"/>
        <n v="172900"/>
        <n v="16830"/>
        <n v="14904"/>
        <n v="712.5"/>
        <n v="2534.4"/>
        <n v="52360"/>
        <n v="554400"/>
        <n v="404800"/>
        <n v="321300"/>
        <n v="16150"/>
        <n v="5152"/>
        <n v="836000"/>
        <n v="257600"/>
        <n v="453600"/>
        <n v="209440"/>
        <n v="288000"/>
        <n v="22680"/>
        <n v="3249"/>
        <n v="718200"/>
        <n v="35420"/>
        <n v="151200"/>
        <n v="11088"/>
        <n v="196000"/>
        <n v="30800"/>
        <n v="252000"/>
        <n v="93100"/>
        <n v="195000"/>
        <n v="532400"/>
        <n v="418000"/>
        <n v="77280"/>
        <n v="140760"/>
        <n v="145350"/>
        <n v="450"/>
        <n v="226800"/>
        <n v="190400"/>
        <n v="230"/>
        <n v="220000"/>
        <n v="891000"/>
        <n v="13770"/>
        <n v="386400"/>
        <n v="36000"/>
        <n v="33000"/>
        <n v="121500"/>
        <n v="107640"/>
        <n v="606900"/>
        <n v="264960"/>
        <n v="243000"/>
        <n v="4750"/>
        <n v="22000"/>
        <n v="9720"/>
        <n v="266000"/>
        <n v="11400"/>
        <n v="1045000"/>
        <n v="316.8"/>
        <n v="17850"/>
        <n v="66240"/>
        <n v="71250"/>
        <n v="102850"/>
        <n v="3080"/>
        <n v="1710"/>
        <n v="306000"/>
        <n v="82280"/>
        <n v="14400"/>
        <n v="708400"/>
        <n v="935000"/>
        <n v="132000"/>
        <n v="29040"/>
        <n v="143000"/>
        <n v="2530"/>
        <n v="2475"/>
        <n v="467500"/>
        <n v="68400"/>
        <n v="607750"/>
        <n v="30600"/>
        <n v="919600"/>
        <n v="22800"/>
        <n v="690"/>
        <n v="280000"/>
        <n v="145200"/>
        <n v="99360"/>
        <n v="19000"/>
        <n v="31500"/>
        <n v="459"/>
        <n v="220"/>
        <n v="59840"/>
        <n v="20000"/>
        <n v="225000"/>
        <n v="2601"/>
        <n v="198550"/>
        <n v="23760"/>
        <n v="131560"/>
        <n v="2112"/>
        <n v="32725"/>
        <n v="228000"/>
        <n v="19360"/>
        <n v="420000"/>
        <n v="21660"/>
        <n v="42500"/>
        <n v="66000"/>
        <n v="102000"/>
        <n v="41860"/>
        <n v="212800"/>
        <n v="29160"/>
        <n v="158.4"/>
        <n v="134640"/>
        <n v="27625"/>
        <n v="55440"/>
        <n v="250"/>
        <n v="25500"/>
        <n v="360000"/>
        <n v="15200"/>
        <n v="281520"/>
        <n v="285000"/>
        <n v="198900"/>
        <n v="89760"/>
        <n v="31464"/>
        <n v="1197"/>
        <n v="5320"/>
        <n v="340200"/>
        <n v="18900"/>
        <n v="17280"/>
        <n v="5400"/>
        <n v="23375"/>
        <n v="156400"/>
        <n v="35700"/>
        <n v="1140"/>
        <n v="513"/>
        <n v="2990"/>
        <n v="2760"/>
        <n v="14256"/>
        <n v="58080"/>
        <n v="4140"/>
        <n v="792000"/>
        <n v="14040"/>
        <n v="2980.8"/>
        <n v="5520"/>
        <n v="275000"/>
        <n v="6440"/>
        <n v="182000"/>
        <n v="14580"/>
        <n v="121125"/>
        <n v="633.6"/>
        <n v="4320"/>
        <n v="110400"/>
        <n v="198000"/>
        <n v="47520"/>
        <n v="246400"/>
        <n v="841500"/>
        <n v="443520"/>
        <n v="22080"/>
        <n v="2280"/>
        <n v="157320"/>
        <n v="1012000"/>
        <n v="135850"/>
        <n v="91800"/>
        <n v="19008"/>
        <n v="522500"/>
        <n v="27720"/>
        <n v="307800"/>
        <n v="53200"/>
        <n v="2500"/>
        <n v="285600"/>
        <n v="238000"/>
        <n v="83600"/>
        <n v="242250"/>
        <n v="180320"/>
        <n v="162"/>
        <n v="739200"/>
      </sharedItems>
    </cacheField>
    <cacheField name="discount impact" numFmtId="2">
      <sharedItems containsSemiMixedTypes="0" containsString="0" containsNumber="1" minValue="0" maxValue="165000"/>
    </cacheField>
    <cacheField name="month" numFmtId="15">
      <sharedItems count="12">
        <s v="Nov"/>
        <s v="Apr"/>
        <s v="Jan"/>
        <s v="Oct"/>
        <s v="May"/>
        <s v="Jul"/>
        <s v="Aug"/>
        <s v="Feb"/>
        <s v="Dec"/>
        <s v="Sep"/>
        <s v="Mar"/>
        <s v="Jun"/>
      </sharedItems>
    </cacheField>
  </cacheFields>
  <extLst>
    <ext xmlns:x14="http://schemas.microsoft.com/office/spreadsheetml/2009/9/main" uri="{725AE2AE-9491-48be-B2B4-4EB974FC3084}">
      <x14:pivotCacheDefinition pivotCacheId="205056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d v="2025-11-24T00:00:00"/>
    <x v="0"/>
    <x v="0"/>
    <x v="0"/>
    <x v="0"/>
    <x v="0"/>
    <n v="18000"/>
    <x v="0"/>
    <n v="18000"/>
    <x v="0"/>
    <n v="2700"/>
    <x v="0"/>
  </r>
  <r>
    <n v="1002"/>
    <d v="2025-04-25T00:00:00"/>
    <x v="1"/>
    <x v="0"/>
    <x v="1"/>
    <x v="1"/>
    <x v="1"/>
    <n v="1200"/>
    <x v="0"/>
    <n v="4800"/>
    <x v="1"/>
    <n v="720"/>
    <x v="1"/>
  </r>
  <r>
    <n v="1003"/>
    <d v="2025-01-17T00:00:00"/>
    <x v="2"/>
    <x v="0"/>
    <x v="2"/>
    <x v="2"/>
    <x v="2"/>
    <n v="55000"/>
    <x v="1"/>
    <n v="165000"/>
    <x v="2"/>
    <n v="8250"/>
    <x v="2"/>
  </r>
  <r>
    <n v="1004"/>
    <d v="2025-10-15T00:00:00"/>
    <x v="3"/>
    <x v="0"/>
    <x v="2"/>
    <x v="3"/>
    <x v="3"/>
    <n v="800"/>
    <x v="2"/>
    <n v="14400"/>
    <x v="3"/>
    <n v="1440"/>
    <x v="3"/>
  </r>
  <r>
    <n v="1005"/>
    <d v="2025-10-29T00:00:00"/>
    <x v="4"/>
    <x v="0"/>
    <x v="3"/>
    <x v="4"/>
    <x v="0"/>
    <n v="14000"/>
    <x v="1"/>
    <n v="14000"/>
    <x v="4"/>
    <n v="700"/>
    <x v="3"/>
  </r>
  <r>
    <n v="1006"/>
    <d v="2025-05-23T00:00:00"/>
    <x v="1"/>
    <x v="0"/>
    <x v="1"/>
    <x v="5"/>
    <x v="4"/>
    <n v="1200"/>
    <x v="3"/>
    <n v="8400"/>
    <x v="5"/>
    <n v="672"/>
    <x v="4"/>
  </r>
  <r>
    <n v="1007"/>
    <d v="2025-07-14T00:00:00"/>
    <x v="0"/>
    <x v="0"/>
    <x v="0"/>
    <x v="2"/>
    <x v="5"/>
    <n v="18000"/>
    <x v="3"/>
    <n v="216000"/>
    <x v="6"/>
    <n v="17280"/>
    <x v="5"/>
  </r>
  <r>
    <n v="1008"/>
    <d v="2025-08-24T00:00:00"/>
    <x v="5"/>
    <x v="1"/>
    <x v="1"/>
    <x v="6"/>
    <x v="1"/>
    <n v="11000"/>
    <x v="2"/>
    <n v="44000"/>
    <x v="7"/>
    <n v="4400"/>
    <x v="6"/>
  </r>
  <r>
    <n v="1009"/>
    <d v="2025-11-18T00:00:00"/>
    <x v="6"/>
    <x v="1"/>
    <x v="2"/>
    <x v="5"/>
    <x v="5"/>
    <n v="9000"/>
    <x v="4"/>
    <n v="108000"/>
    <x v="8"/>
    <n v="12960"/>
    <x v="0"/>
  </r>
  <r>
    <n v="1010"/>
    <d v="2025-01-24T00:00:00"/>
    <x v="7"/>
    <x v="2"/>
    <x v="1"/>
    <x v="0"/>
    <x v="6"/>
    <n v="250"/>
    <x v="3"/>
    <n v="2000"/>
    <x v="9"/>
    <n v="160"/>
    <x v="2"/>
  </r>
  <r>
    <n v="1011"/>
    <d v="2025-02-21T00:00:00"/>
    <x v="8"/>
    <x v="1"/>
    <x v="0"/>
    <x v="7"/>
    <x v="7"/>
    <n v="8500"/>
    <x v="2"/>
    <n v="76500"/>
    <x v="10"/>
    <n v="7650"/>
    <x v="7"/>
  </r>
  <r>
    <n v="1012"/>
    <d v="2025-07-09T00:00:00"/>
    <x v="9"/>
    <x v="0"/>
    <x v="0"/>
    <x v="5"/>
    <x v="4"/>
    <n v="2500"/>
    <x v="0"/>
    <n v="17500"/>
    <x v="11"/>
    <n v="2625"/>
    <x v="5"/>
  </r>
  <r>
    <n v="1013"/>
    <d v="2025-11-08T00:00:00"/>
    <x v="7"/>
    <x v="2"/>
    <x v="2"/>
    <x v="7"/>
    <x v="8"/>
    <n v="250"/>
    <x v="4"/>
    <n v="1500"/>
    <x v="12"/>
    <n v="180"/>
    <x v="0"/>
  </r>
  <r>
    <n v="1014"/>
    <d v="2025-08-25T00:00:00"/>
    <x v="8"/>
    <x v="1"/>
    <x v="2"/>
    <x v="4"/>
    <x v="7"/>
    <n v="8500"/>
    <x v="0"/>
    <n v="76500"/>
    <x v="13"/>
    <n v="11475"/>
    <x v="6"/>
  </r>
  <r>
    <n v="1015"/>
    <d v="2025-01-29T00:00:00"/>
    <x v="3"/>
    <x v="0"/>
    <x v="3"/>
    <x v="6"/>
    <x v="9"/>
    <n v="800"/>
    <x v="3"/>
    <n v="1600"/>
    <x v="14"/>
    <n v="128"/>
    <x v="2"/>
  </r>
  <r>
    <n v="1016"/>
    <d v="2025-02-03T00:00:00"/>
    <x v="3"/>
    <x v="0"/>
    <x v="0"/>
    <x v="0"/>
    <x v="10"/>
    <n v="800"/>
    <x v="0"/>
    <n v="15200"/>
    <x v="15"/>
    <n v="2280"/>
    <x v="7"/>
  </r>
  <r>
    <n v="1017"/>
    <d v="2025-12-02T00:00:00"/>
    <x v="10"/>
    <x v="1"/>
    <x v="3"/>
    <x v="7"/>
    <x v="11"/>
    <n v="15000"/>
    <x v="0"/>
    <n v="195000"/>
    <x v="16"/>
    <n v="29250"/>
    <x v="8"/>
  </r>
  <r>
    <n v="1018"/>
    <d v="2025-05-16T00:00:00"/>
    <x v="1"/>
    <x v="0"/>
    <x v="0"/>
    <x v="1"/>
    <x v="6"/>
    <n v="1200"/>
    <x v="0"/>
    <n v="9600"/>
    <x v="17"/>
    <n v="1440"/>
    <x v="4"/>
  </r>
  <r>
    <n v="1019"/>
    <d v="2025-10-26T00:00:00"/>
    <x v="8"/>
    <x v="1"/>
    <x v="2"/>
    <x v="3"/>
    <x v="5"/>
    <n v="8500"/>
    <x v="1"/>
    <n v="102000"/>
    <x v="18"/>
    <n v="5100"/>
    <x v="3"/>
  </r>
  <r>
    <n v="1020"/>
    <d v="2025-02-16T00:00:00"/>
    <x v="11"/>
    <x v="3"/>
    <x v="2"/>
    <x v="7"/>
    <x v="9"/>
    <n v="3500"/>
    <x v="5"/>
    <n v="7000"/>
    <x v="19"/>
    <n v="0"/>
    <x v="7"/>
  </r>
  <r>
    <n v="1021"/>
    <d v="2025-12-15T00:00:00"/>
    <x v="8"/>
    <x v="1"/>
    <x v="3"/>
    <x v="1"/>
    <x v="12"/>
    <n v="8500"/>
    <x v="5"/>
    <n v="170000"/>
    <x v="20"/>
    <n v="0"/>
    <x v="8"/>
  </r>
  <r>
    <n v="1022"/>
    <d v="2025-11-02T00:00:00"/>
    <x v="10"/>
    <x v="1"/>
    <x v="1"/>
    <x v="5"/>
    <x v="13"/>
    <n v="15000"/>
    <x v="3"/>
    <n v="255000"/>
    <x v="21"/>
    <n v="20400"/>
    <x v="0"/>
  </r>
  <r>
    <n v="1023"/>
    <d v="2025-12-16T00:00:00"/>
    <x v="12"/>
    <x v="3"/>
    <x v="0"/>
    <x v="5"/>
    <x v="3"/>
    <n v="1800"/>
    <x v="3"/>
    <n v="32400"/>
    <x v="22"/>
    <n v="2592"/>
    <x v="8"/>
  </r>
  <r>
    <n v="1024"/>
    <d v="2025-05-31T00:00:00"/>
    <x v="8"/>
    <x v="1"/>
    <x v="1"/>
    <x v="6"/>
    <x v="8"/>
    <n v="8500"/>
    <x v="2"/>
    <n v="51000"/>
    <x v="23"/>
    <n v="5100"/>
    <x v="4"/>
  </r>
  <r>
    <n v="1025"/>
    <d v="2025-09-14T00:00:00"/>
    <x v="11"/>
    <x v="3"/>
    <x v="1"/>
    <x v="6"/>
    <x v="8"/>
    <n v="3500"/>
    <x v="4"/>
    <n v="21000"/>
    <x v="24"/>
    <n v="2520"/>
    <x v="9"/>
  </r>
  <r>
    <n v="1026"/>
    <d v="2025-11-24T00:00:00"/>
    <x v="5"/>
    <x v="1"/>
    <x v="2"/>
    <x v="4"/>
    <x v="12"/>
    <n v="11000"/>
    <x v="1"/>
    <n v="220000"/>
    <x v="25"/>
    <n v="11000"/>
    <x v="0"/>
  </r>
  <r>
    <n v="1027"/>
    <d v="2025-03-24T00:00:00"/>
    <x v="5"/>
    <x v="1"/>
    <x v="0"/>
    <x v="3"/>
    <x v="13"/>
    <n v="11000"/>
    <x v="5"/>
    <n v="187000"/>
    <x v="26"/>
    <n v="0"/>
    <x v="10"/>
  </r>
  <r>
    <n v="1028"/>
    <d v="2025-01-10T00:00:00"/>
    <x v="0"/>
    <x v="0"/>
    <x v="2"/>
    <x v="2"/>
    <x v="5"/>
    <n v="18000"/>
    <x v="3"/>
    <n v="216000"/>
    <x v="6"/>
    <n v="17280"/>
    <x v="2"/>
  </r>
  <r>
    <n v="1029"/>
    <d v="2025-05-04T00:00:00"/>
    <x v="12"/>
    <x v="3"/>
    <x v="1"/>
    <x v="3"/>
    <x v="10"/>
    <n v="1800"/>
    <x v="5"/>
    <n v="34200"/>
    <x v="27"/>
    <n v="0"/>
    <x v="4"/>
  </r>
  <r>
    <n v="1030"/>
    <d v="2025-02-05T00:00:00"/>
    <x v="11"/>
    <x v="3"/>
    <x v="2"/>
    <x v="3"/>
    <x v="3"/>
    <n v="3500"/>
    <x v="1"/>
    <n v="63000"/>
    <x v="28"/>
    <n v="3150"/>
    <x v="7"/>
  </r>
  <r>
    <n v="1031"/>
    <d v="2025-10-09T00:00:00"/>
    <x v="1"/>
    <x v="0"/>
    <x v="3"/>
    <x v="0"/>
    <x v="7"/>
    <n v="1200"/>
    <x v="4"/>
    <n v="10800"/>
    <x v="29"/>
    <n v="1296"/>
    <x v="3"/>
  </r>
  <r>
    <n v="1032"/>
    <d v="2025-10-04T00:00:00"/>
    <x v="11"/>
    <x v="3"/>
    <x v="0"/>
    <x v="1"/>
    <x v="4"/>
    <n v="3500"/>
    <x v="0"/>
    <n v="24500"/>
    <x v="30"/>
    <n v="3675"/>
    <x v="3"/>
  </r>
  <r>
    <n v="1033"/>
    <d v="2025-12-10T00:00:00"/>
    <x v="7"/>
    <x v="2"/>
    <x v="3"/>
    <x v="5"/>
    <x v="5"/>
    <n v="250"/>
    <x v="2"/>
    <n v="3000"/>
    <x v="31"/>
    <n v="300"/>
    <x v="8"/>
  </r>
  <r>
    <n v="1034"/>
    <d v="2025-05-07T00:00:00"/>
    <x v="3"/>
    <x v="0"/>
    <x v="1"/>
    <x v="0"/>
    <x v="2"/>
    <n v="800"/>
    <x v="3"/>
    <n v="2400"/>
    <x v="32"/>
    <n v="192"/>
    <x v="4"/>
  </r>
  <r>
    <n v="1035"/>
    <d v="2025-10-29T00:00:00"/>
    <x v="3"/>
    <x v="0"/>
    <x v="1"/>
    <x v="0"/>
    <x v="0"/>
    <n v="800"/>
    <x v="5"/>
    <n v="800"/>
    <x v="33"/>
    <n v="0"/>
    <x v="3"/>
  </r>
  <r>
    <n v="1036"/>
    <d v="2025-02-04T00:00:00"/>
    <x v="12"/>
    <x v="3"/>
    <x v="1"/>
    <x v="0"/>
    <x v="9"/>
    <n v="1800"/>
    <x v="3"/>
    <n v="3600"/>
    <x v="34"/>
    <n v="288"/>
    <x v="7"/>
  </r>
  <r>
    <n v="1037"/>
    <d v="2025-05-23T00:00:00"/>
    <x v="7"/>
    <x v="2"/>
    <x v="2"/>
    <x v="3"/>
    <x v="14"/>
    <n v="250"/>
    <x v="1"/>
    <n v="4000"/>
    <x v="35"/>
    <n v="200"/>
    <x v="4"/>
  </r>
  <r>
    <n v="1038"/>
    <d v="2025-05-05T00:00:00"/>
    <x v="11"/>
    <x v="3"/>
    <x v="2"/>
    <x v="5"/>
    <x v="14"/>
    <n v="3500"/>
    <x v="2"/>
    <n v="56000"/>
    <x v="36"/>
    <n v="5600"/>
    <x v="4"/>
  </r>
  <r>
    <n v="1039"/>
    <d v="2025-02-19T00:00:00"/>
    <x v="7"/>
    <x v="2"/>
    <x v="3"/>
    <x v="1"/>
    <x v="15"/>
    <n v="250"/>
    <x v="3"/>
    <n v="3500"/>
    <x v="37"/>
    <n v="280"/>
    <x v="7"/>
  </r>
  <r>
    <n v="1040"/>
    <d v="2025-08-28T00:00:00"/>
    <x v="13"/>
    <x v="0"/>
    <x v="1"/>
    <x v="2"/>
    <x v="9"/>
    <n v="42000"/>
    <x v="0"/>
    <n v="84000"/>
    <x v="38"/>
    <n v="12600"/>
    <x v="6"/>
  </r>
  <r>
    <n v="1041"/>
    <d v="2025-07-26T00:00:00"/>
    <x v="14"/>
    <x v="2"/>
    <x v="2"/>
    <x v="0"/>
    <x v="16"/>
    <n v="180"/>
    <x v="5"/>
    <n v="1980"/>
    <x v="39"/>
    <n v="0"/>
    <x v="5"/>
  </r>
  <r>
    <n v="1042"/>
    <d v="2025-04-08T00:00:00"/>
    <x v="5"/>
    <x v="1"/>
    <x v="3"/>
    <x v="7"/>
    <x v="17"/>
    <n v="11000"/>
    <x v="1"/>
    <n v="165000"/>
    <x v="2"/>
    <n v="8250"/>
    <x v="1"/>
  </r>
  <r>
    <n v="1043"/>
    <d v="2025-05-23T00:00:00"/>
    <x v="10"/>
    <x v="1"/>
    <x v="3"/>
    <x v="5"/>
    <x v="6"/>
    <n v="15000"/>
    <x v="5"/>
    <n v="120000"/>
    <x v="40"/>
    <n v="0"/>
    <x v="4"/>
  </r>
  <r>
    <n v="1044"/>
    <d v="2025-01-26T00:00:00"/>
    <x v="7"/>
    <x v="2"/>
    <x v="1"/>
    <x v="0"/>
    <x v="3"/>
    <n v="250"/>
    <x v="5"/>
    <n v="4500"/>
    <x v="41"/>
    <n v="0"/>
    <x v="2"/>
  </r>
  <r>
    <n v="1045"/>
    <d v="2025-03-27T00:00:00"/>
    <x v="8"/>
    <x v="1"/>
    <x v="2"/>
    <x v="1"/>
    <x v="14"/>
    <n v="8500"/>
    <x v="2"/>
    <n v="136000"/>
    <x v="42"/>
    <n v="13600"/>
    <x v="10"/>
  </r>
  <r>
    <n v="1046"/>
    <d v="2025-01-31T00:00:00"/>
    <x v="1"/>
    <x v="0"/>
    <x v="3"/>
    <x v="6"/>
    <x v="11"/>
    <n v="1200"/>
    <x v="5"/>
    <n v="15600"/>
    <x v="43"/>
    <n v="0"/>
    <x v="2"/>
  </r>
  <r>
    <n v="1047"/>
    <d v="2025-08-21T00:00:00"/>
    <x v="4"/>
    <x v="0"/>
    <x v="3"/>
    <x v="7"/>
    <x v="15"/>
    <n v="14000"/>
    <x v="0"/>
    <n v="196000"/>
    <x v="44"/>
    <n v="29400"/>
    <x v="6"/>
  </r>
  <r>
    <n v="1048"/>
    <d v="2025-04-08T00:00:00"/>
    <x v="4"/>
    <x v="0"/>
    <x v="1"/>
    <x v="4"/>
    <x v="4"/>
    <n v="14000"/>
    <x v="5"/>
    <n v="98000"/>
    <x v="45"/>
    <n v="0"/>
    <x v="1"/>
  </r>
  <r>
    <n v="1049"/>
    <d v="2025-01-30T00:00:00"/>
    <x v="2"/>
    <x v="0"/>
    <x v="2"/>
    <x v="2"/>
    <x v="10"/>
    <n v="55000"/>
    <x v="2"/>
    <n v="1045000"/>
    <x v="46"/>
    <n v="104500"/>
    <x v="2"/>
  </r>
  <r>
    <n v="1050"/>
    <d v="2025-09-18T00:00:00"/>
    <x v="0"/>
    <x v="0"/>
    <x v="1"/>
    <x v="0"/>
    <x v="8"/>
    <n v="18000"/>
    <x v="5"/>
    <n v="108000"/>
    <x v="47"/>
    <n v="0"/>
    <x v="9"/>
  </r>
  <r>
    <n v="1051"/>
    <d v="2025-07-26T00:00:00"/>
    <x v="0"/>
    <x v="0"/>
    <x v="1"/>
    <x v="5"/>
    <x v="10"/>
    <n v="18000"/>
    <x v="1"/>
    <n v="342000"/>
    <x v="48"/>
    <n v="17100"/>
    <x v="5"/>
  </r>
  <r>
    <n v="1052"/>
    <d v="2025-08-03T00:00:00"/>
    <x v="7"/>
    <x v="2"/>
    <x v="0"/>
    <x v="6"/>
    <x v="10"/>
    <n v="250"/>
    <x v="4"/>
    <n v="4750"/>
    <x v="49"/>
    <n v="570"/>
    <x v="6"/>
  </r>
  <r>
    <n v="1053"/>
    <d v="2025-04-15T00:00:00"/>
    <x v="7"/>
    <x v="2"/>
    <x v="0"/>
    <x v="1"/>
    <x v="16"/>
    <n v="250"/>
    <x v="1"/>
    <n v="2750"/>
    <x v="50"/>
    <n v="137.5"/>
    <x v="1"/>
  </r>
  <r>
    <n v="1054"/>
    <d v="2025-03-09T00:00:00"/>
    <x v="7"/>
    <x v="2"/>
    <x v="0"/>
    <x v="5"/>
    <x v="18"/>
    <n v="250"/>
    <x v="2"/>
    <n v="2500"/>
    <x v="51"/>
    <n v="250"/>
    <x v="10"/>
  </r>
  <r>
    <n v="1055"/>
    <d v="2025-01-05T00:00:00"/>
    <x v="10"/>
    <x v="1"/>
    <x v="1"/>
    <x v="5"/>
    <x v="12"/>
    <n v="15000"/>
    <x v="4"/>
    <n v="300000"/>
    <x v="52"/>
    <n v="36000"/>
    <x v="2"/>
  </r>
  <r>
    <n v="1056"/>
    <d v="2025-10-03T00:00:00"/>
    <x v="3"/>
    <x v="0"/>
    <x v="2"/>
    <x v="4"/>
    <x v="13"/>
    <n v="800"/>
    <x v="3"/>
    <n v="13600"/>
    <x v="53"/>
    <n v="1088"/>
    <x v="3"/>
  </r>
  <r>
    <n v="1057"/>
    <d v="2025-02-05T00:00:00"/>
    <x v="12"/>
    <x v="3"/>
    <x v="0"/>
    <x v="7"/>
    <x v="6"/>
    <n v="1800"/>
    <x v="3"/>
    <n v="14400"/>
    <x v="54"/>
    <n v="1152"/>
    <x v="7"/>
  </r>
  <r>
    <n v="1058"/>
    <d v="2025-08-13T00:00:00"/>
    <x v="13"/>
    <x v="0"/>
    <x v="0"/>
    <x v="2"/>
    <x v="3"/>
    <n v="42000"/>
    <x v="0"/>
    <n v="756000"/>
    <x v="55"/>
    <n v="113400"/>
    <x v="6"/>
  </r>
  <r>
    <n v="1059"/>
    <d v="2025-12-08T00:00:00"/>
    <x v="13"/>
    <x v="0"/>
    <x v="1"/>
    <x v="7"/>
    <x v="3"/>
    <n v="42000"/>
    <x v="3"/>
    <n v="756000"/>
    <x v="56"/>
    <n v="60480"/>
    <x v="8"/>
  </r>
  <r>
    <n v="1060"/>
    <d v="2025-05-16T00:00:00"/>
    <x v="0"/>
    <x v="0"/>
    <x v="2"/>
    <x v="6"/>
    <x v="1"/>
    <n v="18000"/>
    <x v="0"/>
    <n v="72000"/>
    <x v="57"/>
    <n v="10800"/>
    <x v="4"/>
  </r>
  <r>
    <n v="1061"/>
    <d v="2025-05-25T00:00:00"/>
    <x v="6"/>
    <x v="1"/>
    <x v="0"/>
    <x v="0"/>
    <x v="4"/>
    <n v="9000"/>
    <x v="0"/>
    <n v="63000"/>
    <x v="58"/>
    <n v="9450"/>
    <x v="4"/>
  </r>
  <r>
    <n v="1062"/>
    <d v="2025-12-18T00:00:00"/>
    <x v="7"/>
    <x v="2"/>
    <x v="3"/>
    <x v="6"/>
    <x v="7"/>
    <n v="250"/>
    <x v="4"/>
    <n v="2250"/>
    <x v="39"/>
    <n v="270"/>
    <x v="8"/>
  </r>
  <r>
    <n v="1063"/>
    <d v="2025-01-27T00:00:00"/>
    <x v="0"/>
    <x v="0"/>
    <x v="1"/>
    <x v="2"/>
    <x v="15"/>
    <n v="18000"/>
    <x v="3"/>
    <n v="252000"/>
    <x v="59"/>
    <n v="20160"/>
    <x v="2"/>
  </r>
  <r>
    <n v="1064"/>
    <d v="2025-06-20T00:00:00"/>
    <x v="11"/>
    <x v="3"/>
    <x v="0"/>
    <x v="7"/>
    <x v="19"/>
    <n v="3500"/>
    <x v="0"/>
    <n v="17500"/>
    <x v="11"/>
    <n v="2625"/>
    <x v="11"/>
  </r>
  <r>
    <n v="1065"/>
    <d v="2025-08-15T00:00:00"/>
    <x v="5"/>
    <x v="1"/>
    <x v="1"/>
    <x v="5"/>
    <x v="15"/>
    <n v="11000"/>
    <x v="4"/>
    <n v="154000"/>
    <x v="60"/>
    <n v="18480"/>
    <x v="6"/>
  </r>
  <r>
    <n v="1066"/>
    <d v="2025-02-08T00:00:00"/>
    <x v="12"/>
    <x v="3"/>
    <x v="1"/>
    <x v="4"/>
    <x v="19"/>
    <n v="1800"/>
    <x v="4"/>
    <n v="9000"/>
    <x v="61"/>
    <n v="1080"/>
    <x v="7"/>
  </r>
  <r>
    <n v="1067"/>
    <d v="2025-10-26T00:00:00"/>
    <x v="5"/>
    <x v="1"/>
    <x v="2"/>
    <x v="2"/>
    <x v="19"/>
    <n v="11000"/>
    <x v="2"/>
    <n v="55000"/>
    <x v="62"/>
    <n v="5500"/>
    <x v="3"/>
  </r>
  <r>
    <n v="1068"/>
    <d v="2025-06-07T00:00:00"/>
    <x v="9"/>
    <x v="0"/>
    <x v="2"/>
    <x v="0"/>
    <x v="9"/>
    <n v="2500"/>
    <x v="3"/>
    <n v="5000"/>
    <x v="63"/>
    <n v="400"/>
    <x v="11"/>
  </r>
  <r>
    <n v="1069"/>
    <d v="2025-12-08T00:00:00"/>
    <x v="0"/>
    <x v="0"/>
    <x v="3"/>
    <x v="7"/>
    <x v="5"/>
    <n v="18000"/>
    <x v="4"/>
    <n v="216000"/>
    <x v="64"/>
    <n v="25920"/>
    <x v="8"/>
  </r>
  <r>
    <n v="1070"/>
    <d v="2025-05-02T00:00:00"/>
    <x v="13"/>
    <x v="0"/>
    <x v="3"/>
    <x v="2"/>
    <x v="8"/>
    <n v="42000"/>
    <x v="1"/>
    <n v="252000"/>
    <x v="65"/>
    <n v="12600"/>
    <x v="4"/>
  </r>
  <r>
    <n v="1071"/>
    <d v="2025-04-02T00:00:00"/>
    <x v="14"/>
    <x v="2"/>
    <x v="2"/>
    <x v="6"/>
    <x v="16"/>
    <n v="180"/>
    <x v="2"/>
    <n v="1980"/>
    <x v="66"/>
    <n v="198"/>
    <x v="1"/>
  </r>
  <r>
    <n v="1072"/>
    <d v="2025-03-23T00:00:00"/>
    <x v="11"/>
    <x v="3"/>
    <x v="1"/>
    <x v="3"/>
    <x v="1"/>
    <n v="3500"/>
    <x v="2"/>
    <n v="14000"/>
    <x v="67"/>
    <n v="1400"/>
    <x v="10"/>
  </r>
  <r>
    <n v="1073"/>
    <d v="2025-04-24T00:00:00"/>
    <x v="3"/>
    <x v="0"/>
    <x v="0"/>
    <x v="0"/>
    <x v="17"/>
    <n v="800"/>
    <x v="3"/>
    <n v="12000"/>
    <x v="68"/>
    <n v="960"/>
    <x v="1"/>
  </r>
  <r>
    <n v="1074"/>
    <d v="2025-04-25T00:00:00"/>
    <x v="2"/>
    <x v="0"/>
    <x v="0"/>
    <x v="6"/>
    <x v="4"/>
    <n v="55000"/>
    <x v="2"/>
    <n v="385000"/>
    <x v="69"/>
    <n v="38500"/>
    <x v="1"/>
  </r>
  <r>
    <n v="1075"/>
    <d v="2025-02-05T00:00:00"/>
    <x v="11"/>
    <x v="3"/>
    <x v="3"/>
    <x v="4"/>
    <x v="7"/>
    <n v="3500"/>
    <x v="3"/>
    <n v="31500"/>
    <x v="70"/>
    <n v="2520"/>
    <x v="7"/>
  </r>
  <r>
    <n v="1076"/>
    <d v="2025-01-15T00:00:00"/>
    <x v="0"/>
    <x v="0"/>
    <x v="0"/>
    <x v="2"/>
    <x v="7"/>
    <n v="18000"/>
    <x v="1"/>
    <n v="162000"/>
    <x v="71"/>
    <n v="8100"/>
    <x v="2"/>
  </r>
  <r>
    <n v="1077"/>
    <d v="2025-02-25T00:00:00"/>
    <x v="6"/>
    <x v="1"/>
    <x v="0"/>
    <x v="1"/>
    <x v="15"/>
    <n v="9000"/>
    <x v="3"/>
    <n v="126000"/>
    <x v="72"/>
    <n v="10080"/>
    <x v="7"/>
  </r>
  <r>
    <n v="1078"/>
    <d v="2025-11-07T00:00:00"/>
    <x v="5"/>
    <x v="1"/>
    <x v="2"/>
    <x v="6"/>
    <x v="1"/>
    <n v="11000"/>
    <x v="2"/>
    <n v="44000"/>
    <x v="7"/>
    <n v="4400"/>
    <x v="0"/>
  </r>
  <r>
    <n v="1079"/>
    <d v="2025-01-23T00:00:00"/>
    <x v="14"/>
    <x v="2"/>
    <x v="2"/>
    <x v="4"/>
    <x v="15"/>
    <n v="180"/>
    <x v="5"/>
    <n v="2520"/>
    <x v="73"/>
    <n v="0"/>
    <x v="2"/>
  </r>
  <r>
    <n v="1080"/>
    <d v="2025-08-09T00:00:00"/>
    <x v="0"/>
    <x v="0"/>
    <x v="0"/>
    <x v="5"/>
    <x v="16"/>
    <n v="18000"/>
    <x v="4"/>
    <n v="198000"/>
    <x v="74"/>
    <n v="23760"/>
    <x v="6"/>
  </r>
  <r>
    <n v="1081"/>
    <d v="2025-06-03T00:00:00"/>
    <x v="5"/>
    <x v="1"/>
    <x v="3"/>
    <x v="4"/>
    <x v="18"/>
    <n v="11000"/>
    <x v="0"/>
    <n v="110000"/>
    <x v="75"/>
    <n v="16500"/>
    <x v="11"/>
  </r>
  <r>
    <n v="1082"/>
    <d v="2025-07-26T00:00:00"/>
    <x v="14"/>
    <x v="2"/>
    <x v="2"/>
    <x v="0"/>
    <x v="18"/>
    <n v="180"/>
    <x v="4"/>
    <n v="1800"/>
    <x v="76"/>
    <n v="216"/>
    <x v="5"/>
  </r>
  <r>
    <n v="1083"/>
    <d v="2025-08-04T00:00:00"/>
    <x v="7"/>
    <x v="2"/>
    <x v="2"/>
    <x v="6"/>
    <x v="11"/>
    <n v="250"/>
    <x v="0"/>
    <n v="3250"/>
    <x v="77"/>
    <n v="487.5"/>
    <x v="6"/>
  </r>
  <r>
    <n v="1084"/>
    <d v="2025-07-27T00:00:00"/>
    <x v="5"/>
    <x v="1"/>
    <x v="0"/>
    <x v="0"/>
    <x v="0"/>
    <n v="11000"/>
    <x v="3"/>
    <n v="11000"/>
    <x v="78"/>
    <n v="880"/>
    <x v="5"/>
  </r>
  <r>
    <n v="1085"/>
    <d v="2025-08-09T00:00:00"/>
    <x v="11"/>
    <x v="3"/>
    <x v="0"/>
    <x v="3"/>
    <x v="10"/>
    <n v="3500"/>
    <x v="4"/>
    <n v="66500"/>
    <x v="79"/>
    <n v="7980"/>
    <x v="6"/>
  </r>
  <r>
    <n v="1086"/>
    <d v="2025-08-15T00:00:00"/>
    <x v="10"/>
    <x v="1"/>
    <x v="3"/>
    <x v="7"/>
    <x v="4"/>
    <n v="15000"/>
    <x v="4"/>
    <n v="105000"/>
    <x v="80"/>
    <n v="12600"/>
    <x v="6"/>
  </r>
  <r>
    <n v="1087"/>
    <d v="2025-12-04T00:00:00"/>
    <x v="0"/>
    <x v="0"/>
    <x v="0"/>
    <x v="5"/>
    <x v="18"/>
    <n v="18000"/>
    <x v="4"/>
    <n v="180000"/>
    <x v="81"/>
    <n v="21600"/>
    <x v="8"/>
  </r>
  <r>
    <n v="1088"/>
    <d v="2025-05-01T00:00:00"/>
    <x v="7"/>
    <x v="2"/>
    <x v="2"/>
    <x v="7"/>
    <x v="18"/>
    <n v="250"/>
    <x v="1"/>
    <n v="2500"/>
    <x v="82"/>
    <n v="125"/>
    <x v="4"/>
  </r>
  <r>
    <n v="1089"/>
    <d v="2025-01-13T00:00:00"/>
    <x v="2"/>
    <x v="0"/>
    <x v="1"/>
    <x v="3"/>
    <x v="6"/>
    <n v="55000"/>
    <x v="2"/>
    <n v="440000"/>
    <x v="83"/>
    <n v="44000"/>
    <x v="2"/>
  </r>
  <r>
    <n v="1090"/>
    <d v="2025-08-01T00:00:00"/>
    <x v="12"/>
    <x v="3"/>
    <x v="3"/>
    <x v="3"/>
    <x v="10"/>
    <n v="1800"/>
    <x v="1"/>
    <n v="34200"/>
    <x v="84"/>
    <n v="1710"/>
    <x v="6"/>
  </r>
  <r>
    <n v="1091"/>
    <d v="2025-07-24T00:00:00"/>
    <x v="3"/>
    <x v="0"/>
    <x v="1"/>
    <x v="5"/>
    <x v="19"/>
    <n v="800"/>
    <x v="0"/>
    <n v="4000"/>
    <x v="85"/>
    <n v="600"/>
    <x v="5"/>
  </r>
  <r>
    <n v="1092"/>
    <d v="2025-08-06T00:00:00"/>
    <x v="3"/>
    <x v="0"/>
    <x v="3"/>
    <x v="2"/>
    <x v="8"/>
    <n v="800"/>
    <x v="0"/>
    <n v="4800"/>
    <x v="1"/>
    <n v="720"/>
    <x v="6"/>
  </r>
  <r>
    <n v="1093"/>
    <d v="2025-10-13T00:00:00"/>
    <x v="3"/>
    <x v="0"/>
    <x v="2"/>
    <x v="3"/>
    <x v="1"/>
    <n v="800"/>
    <x v="2"/>
    <n v="3200"/>
    <x v="86"/>
    <n v="320"/>
    <x v="3"/>
  </r>
  <r>
    <n v="1094"/>
    <d v="2025-12-08T00:00:00"/>
    <x v="5"/>
    <x v="1"/>
    <x v="0"/>
    <x v="3"/>
    <x v="3"/>
    <n v="11000"/>
    <x v="4"/>
    <n v="198000"/>
    <x v="74"/>
    <n v="23760"/>
    <x v="8"/>
  </r>
  <r>
    <n v="1095"/>
    <d v="2025-11-10T00:00:00"/>
    <x v="13"/>
    <x v="0"/>
    <x v="3"/>
    <x v="7"/>
    <x v="13"/>
    <n v="42000"/>
    <x v="2"/>
    <n v="714000"/>
    <x v="55"/>
    <n v="71400"/>
    <x v="0"/>
  </r>
  <r>
    <n v="1096"/>
    <d v="2025-09-01T00:00:00"/>
    <x v="10"/>
    <x v="1"/>
    <x v="0"/>
    <x v="3"/>
    <x v="7"/>
    <n v="15000"/>
    <x v="1"/>
    <n v="135000"/>
    <x v="87"/>
    <n v="6750"/>
    <x v="9"/>
  </r>
  <r>
    <n v="1097"/>
    <d v="2025-11-17T00:00:00"/>
    <x v="3"/>
    <x v="0"/>
    <x v="1"/>
    <x v="6"/>
    <x v="7"/>
    <n v="800"/>
    <x v="2"/>
    <n v="7200"/>
    <x v="88"/>
    <n v="720"/>
    <x v="0"/>
  </r>
  <r>
    <n v="1098"/>
    <d v="2025-05-01T00:00:00"/>
    <x v="4"/>
    <x v="0"/>
    <x v="1"/>
    <x v="7"/>
    <x v="16"/>
    <n v="14000"/>
    <x v="3"/>
    <n v="154000"/>
    <x v="89"/>
    <n v="12320"/>
    <x v="4"/>
  </r>
  <r>
    <n v="1099"/>
    <d v="2025-03-19T00:00:00"/>
    <x v="3"/>
    <x v="0"/>
    <x v="2"/>
    <x v="0"/>
    <x v="11"/>
    <n v="800"/>
    <x v="0"/>
    <n v="10400"/>
    <x v="90"/>
    <n v="1560"/>
    <x v="10"/>
  </r>
  <r>
    <n v="1100"/>
    <d v="2025-02-02T00:00:00"/>
    <x v="8"/>
    <x v="1"/>
    <x v="3"/>
    <x v="1"/>
    <x v="15"/>
    <n v="8500"/>
    <x v="3"/>
    <n v="119000"/>
    <x v="91"/>
    <n v="9520"/>
    <x v="7"/>
  </r>
  <r>
    <n v="1101"/>
    <d v="2025-02-01T00:00:00"/>
    <x v="3"/>
    <x v="0"/>
    <x v="1"/>
    <x v="1"/>
    <x v="15"/>
    <n v="800"/>
    <x v="2"/>
    <n v="11200"/>
    <x v="92"/>
    <n v="1120"/>
    <x v="7"/>
  </r>
  <r>
    <n v="1102"/>
    <d v="2025-09-02T00:00:00"/>
    <x v="2"/>
    <x v="0"/>
    <x v="3"/>
    <x v="1"/>
    <x v="5"/>
    <n v="55000"/>
    <x v="3"/>
    <n v="660000"/>
    <x v="93"/>
    <n v="52800"/>
    <x v="9"/>
  </r>
  <r>
    <n v="1103"/>
    <d v="2025-10-03T00:00:00"/>
    <x v="14"/>
    <x v="2"/>
    <x v="2"/>
    <x v="3"/>
    <x v="3"/>
    <n v="180"/>
    <x v="4"/>
    <n v="3240"/>
    <x v="94"/>
    <n v="388.80000000000018"/>
    <x v="3"/>
  </r>
  <r>
    <n v="1104"/>
    <d v="2025-04-23T00:00:00"/>
    <x v="4"/>
    <x v="0"/>
    <x v="1"/>
    <x v="1"/>
    <x v="15"/>
    <n v="14000"/>
    <x v="2"/>
    <n v="196000"/>
    <x v="95"/>
    <n v="19600"/>
    <x v="1"/>
  </r>
  <r>
    <n v="1105"/>
    <d v="2025-06-22T00:00:00"/>
    <x v="7"/>
    <x v="2"/>
    <x v="2"/>
    <x v="3"/>
    <x v="11"/>
    <n v="250"/>
    <x v="0"/>
    <n v="3250"/>
    <x v="77"/>
    <n v="487.5"/>
    <x v="11"/>
  </r>
  <r>
    <n v="1106"/>
    <d v="2025-03-07T00:00:00"/>
    <x v="6"/>
    <x v="1"/>
    <x v="3"/>
    <x v="2"/>
    <x v="3"/>
    <n v="9000"/>
    <x v="5"/>
    <n v="162000"/>
    <x v="96"/>
    <n v="0"/>
    <x v="10"/>
  </r>
  <r>
    <n v="1107"/>
    <d v="2025-02-12T00:00:00"/>
    <x v="7"/>
    <x v="2"/>
    <x v="3"/>
    <x v="7"/>
    <x v="15"/>
    <n v="250"/>
    <x v="1"/>
    <n v="3500"/>
    <x v="97"/>
    <n v="175"/>
    <x v="7"/>
  </r>
  <r>
    <n v="1108"/>
    <d v="2025-01-26T00:00:00"/>
    <x v="4"/>
    <x v="0"/>
    <x v="2"/>
    <x v="3"/>
    <x v="11"/>
    <n v="14000"/>
    <x v="3"/>
    <n v="182000"/>
    <x v="98"/>
    <n v="14560"/>
    <x v="2"/>
  </r>
  <r>
    <n v="1109"/>
    <d v="2025-06-17T00:00:00"/>
    <x v="9"/>
    <x v="0"/>
    <x v="3"/>
    <x v="6"/>
    <x v="11"/>
    <n v="2500"/>
    <x v="3"/>
    <n v="32500"/>
    <x v="99"/>
    <n v="2600"/>
    <x v="11"/>
  </r>
  <r>
    <n v="1110"/>
    <d v="2025-02-11T00:00:00"/>
    <x v="10"/>
    <x v="1"/>
    <x v="1"/>
    <x v="4"/>
    <x v="0"/>
    <n v="15000"/>
    <x v="0"/>
    <n v="15000"/>
    <x v="100"/>
    <n v="2250"/>
    <x v="7"/>
  </r>
  <r>
    <n v="1111"/>
    <d v="2025-04-25T00:00:00"/>
    <x v="7"/>
    <x v="2"/>
    <x v="1"/>
    <x v="2"/>
    <x v="2"/>
    <n v="250"/>
    <x v="0"/>
    <n v="750"/>
    <x v="101"/>
    <n v="112.5"/>
    <x v="1"/>
  </r>
  <r>
    <n v="1112"/>
    <d v="2025-05-07T00:00:00"/>
    <x v="3"/>
    <x v="0"/>
    <x v="2"/>
    <x v="0"/>
    <x v="0"/>
    <n v="800"/>
    <x v="4"/>
    <n v="800"/>
    <x v="102"/>
    <n v="96"/>
    <x v="4"/>
  </r>
  <r>
    <n v="1113"/>
    <d v="2025-03-06T00:00:00"/>
    <x v="10"/>
    <x v="1"/>
    <x v="2"/>
    <x v="3"/>
    <x v="1"/>
    <n v="15000"/>
    <x v="4"/>
    <n v="60000"/>
    <x v="103"/>
    <n v="7200"/>
    <x v="10"/>
  </r>
  <r>
    <n v="1114"/>
    <d v="2025-12-25T00:00:00"/>
    <x v="4"/>
    <x v="0"/>
    <x v="1"/>
    <x v="7"/>
    <x v="5"/>
    <n v="14000"/>
    <x v="1"/>
    <n v="168000"/>
    <x v="104"/>
    <n v="8400"/>
    <x v="8"/>
  </r>
  <r>
    <n v="1115"/>
    <d v="2025-06-09T00:00:00"/>
    <x v="0"/>
    <x v="0"/>
    <x v="0"/>
    <x v="1"/>
    <x v="10"/>
    <n v="18000"/>
    <x v="5"/>
    <n v="342000"/>
    <x v="105"/>
    <n v="0"/>
    <x v="11"/>
  </r>
  <r>
    <n v="1116"/>
    <d v="2025-07-23T00:00:00"/>
    <x v="14"/>
    <x v="2"/>
    <x v="2"/>
    <x v="5"/>
    <x v="4"/>
    <n v="180"/>
    <x v="5"/>
    <n v="1260"/>
    <x v="106"/>
    <n v="0"/>
    <x v="5"/>
  </r>
  <r>
    <n v="1117"/>
    <d v="2025-12-23T00:00:00"/>
    <x v="11"/>
    <x v="3"/>
    <x v="1"/>
    <x v="2"/>
    <x v="18"/>
    <n v="3500"/>
    <x v="0"/>
    <n v="35000"/>
    <x v="107"/>
    <n v="5250"/>
    <x v="8"/>
  </r>
  <r>
    <n v="1118"/>
    <d v="2025-06-27T00:00:00"/>
    <x v="5"/>
    <x v="1"/>
    <x v="0"/>
    <x v="5"/>
    <x v="15"/>
    <n v="11000"/>
    <x v="0"/>
    <n v="154000"/>
    <x v="108"/>
    <n v="23100"/>
    <x v="11"/>
  </r>
  <r>
    <n v="1119"/>
    <d v="2025-09-17T00:00:00"/>
    <x v="7"/>
    <x v="2"/>
    <x v="3"/>
    <x v="3"/>
    <x v="16"/>
    <n v="250"/>
    <x v="5"/>
    <n v="2750"/>
    <x v="109"/>
    <n v="0"/>
    <x v="9"/>
  </r>
  <r>
    <n v="1120"/>
    <d v="2025-02-24T00:00:00"/>
    <x v="8"/>
    <x v="1"/>
    <x v="3"/>
    <x v="7"/>
    <x v="5"/>
    <n v="8500"/>
    <x v="0"/>
    <n v="102000"/>
    <x v="110"/>
    <n v="15300"/>
    <x v="7"/>
  </r>
  <r>
    <n v="1121"/>
    <d v="2025-08-11T00:00:00"/>
    <x v="1"/>
    <x v="0"/>
    <x v="0"/>
    <x v="3"/>
    <x v="13"/>
    <n v="1200"/>
    <x v="0"/>
    <n v="20400"/>
    <x v="111"/>
    <n v="3060"/>
    <x v="6"/>
  </r>
  <r>
    <n v="1122"/>
    <d v="2025-08-27T00:00:00"/>
    <x v="8"/>
    <x v="1"/>
    <x v="0"/>
    <x v="0"/>
    <x v="10"/>
    <n v="8500"/>
    <x v="3"/>
    <n v="161500"/>
    <x v="112"/>
    <n v="12920"/>
    <x v="6"/>
  </r>
  <r>
    <n v="1123"/>
    <d v="2025-02-14T00:00:00"/>
    <x v="4"/>
    <x v="0"/>
    <x v="3"/>
    <x v="1"/>
    <x v="17"/>
    <n v="14000"/>
    <x v="1"/>
    <n v="210000"/>
    <x v="113"/>
    <n v="10500"/>
    <x v="7"/>
  </r>
  <r>
    <n v="1124"/>
    <d v="2025-06-22T00:00:00"/>
    <x v="2"/>
    <x v="0"/>
    <x v="2"/>
    <x v="3"/>
    <x v="14"/>
    <n v="55000"/>
    <x v="3"/>
    <n v="880000"/>
    <x v="114"/>
    <n v="70400"/>
    <x v="11"/>
  </r>
  <r>
    <n v="1125"/>
    <d v="2025-04-19T00:00:00"/>
    <x v="9"/>
    <x v="0"/>
    <x v="0"/>
    <x v="6"/>
    <x v="7"/>
    <n v="2500"/>
    <x v="3"/>
    <n v="22500"/>
    <x v="115"/>
    <n v="1800"/>
    <x v="1"/>
  </r>
  <r>
    <n v="1126"/>
    <d v="2025-10-12T00:00:00"/>
    <x v="2"/>
    <x v="0"/>
    <x v="1"/>
    <x v="0"/>
    <x v="13"/>
    <n v="55000"/>
    <x v="1"/>
    <n v="935000"/>
    <x v="116"/>
    <n v="46750"/>
    <x v="3"/>
  </r>
  <r>
    <n v="1127"/>
    <d v="2025-07-28T00:00:00"/>
    <x v="10"/>
    <x v="1"/>
    <x v="3"/>
    <x v="3"/>
    <x v="3"/>
    <n v="15000"/>
    <x v="1"/>
    <n v="270000"/>
    <x v="117"/>
    <n v="13500"/>
    <x v="5"/>
  </r>
  <r>
    <n v="1128"/>
    <d v="2025-08-18T00:00:00"/>
    <x v="11"/>
    <x v="3"/>
    <x v="0"/>
    <x v="0"/>
    <x v="0"/>
    <n v="3500"/>
    <x v="5"/>
    <n v="3500"/>
    <x v="118"/>
    <n v="0"/>
    <x v="6"/>
  </r>
  <r>
    <n v="1129"/>
    <d v="2025-07-27T00:00:00"/>
    <x v="14"/>
    <x v="2"/>
    <x v="0"/>
    <x v="3"/>
    <x v="6"/>
    <n v="180"/>
    <x v="3"/>
    <n v="1440"/>
    <x v="119"/>
    <n v="115.20000000000005"/>
    <x v="5"/>
  </r>
  <r>
    <n v="1130"/>
    <d v="2025-10-11T00:00:00"/>
    <x v="5"/>
    <x v="1"/>
    <x v="0"/>
    <x v="4"/>
    <x v="5"/>
    <n v="11000"/>
    <x v="2"/>
    <n v="132000"/>
    <x v="120"/>
    <n v="13200"/>
    <x v="3"/>
  </r>
  <r>
    <n v="1131"/>
    <d v="2025-12-26T00:00:00"/>
    <x v="10"/>
    <x v="1"/>
    <x v="0"/>
    <x v="0"/>
    <x v="7"/>
    <n v="15000"/>
    <x v="3"/>
    <n v="135000"/>
    <x v="121"/>
    <n v="10800"/>
    <x v="8"/>
  </r>
  <r>
    <n v="1132"/>
    <d v="2025-03-03T00:00:00"/>
    <x v="14"/>
    <x v="2"/>
    <x v="1"/>
    <x v="7"/>
    <x v="4"/>
    <n v="180"/>
    <x v="3"/>
    <n v="1260"/>
    <x v="122"/>
    <n v="100.79999999999995"/>
    <x v="10"/>
  </r>
  <r>
    <n v="1133"/>
    <d v="2025-04-09T00:00:00"/>
    <x v="3"/>
    <x v="0"/>
    <x v="0"/>
    <x v="5"/>
    <x v="14"/>
    <n v="800"/>
    <x v="3"/>
    <n v="12800"/>
    <x v="123"/>
    <n v="1024"/>
    <x v="1"/>
  </r>
  <r>
    <n v="1134"/>
    <d v="2025-04-10T00:00:00"/>
    <x v="4"/>
    <x v="0"/>
    <x v="2"/>
    <x v="6"/>
    <x v="6"/>
    <n v="14000"/>
    <x v="3"/>
    <n v="112000"/>
    <x v="124"/>
    <n v="8960"/>
    <x v="1"/>
  </r>
  <r>
    <n v="1135"/>
    <d v="2025-01-08T00:00:00"/>
    <x v="14"/>
    <x v="2"/>
    <x v="0"/>
    <x v="2"/>
    <x v="3"/>
    <n v="180"/>
    <x v="1"/>
    <n v="3240"/>
    <x v="125"/>
    <n v="162"/>
    <x v="2"/>
  </r>
  <r>
    <n v="1136"/>
    <d v="2025-01-28T00:00:00"/>
    <x v="5"/>
    <x v="1"/>
    <x v="2"/>
    <x v="3"/>
    <x v="18"/>
    <n v="11000"/>
    <x v="0"/>
    <n v="110000"/>
    <x v="75"/>
    <n v="16500"/>
    <x v="2"/>
  </r>
  <r>
    <n v="1137"/>
    <d v="2025-02-22T00:00:00"/>
    <x v="13"/>
    <x v="0"/>
    <x v="0"/>
    <x v="3"/>
    <x v="0"/>
    <n v="42000"/>
    <x v="4"/>
    <n v="42000"/>
    <x v="126"/>
    <n v="5040"/>
    <x v="7"/>
  </r>
  <r>
    <n v="1138"/>
    <d v="2025-09-03T00:00:00"/>
    <x v="10"/>
    <x v="1"/>
    <x v="1"/>
    <x v="6"/>
    <x v="16"/>
    <n v="15000"/>
    <x v="1"/>
    <n v="165000"/>
    <x v="2"/>
    <n v="8250"/>
    <x v="9"/>
  </r>
  <r>
    <n v="1139"/>
    <d v="2025-09-02T00:00:00"/>
    <x v="0"/>
    <x v="0"/>
    <x v="3"/>
    <x v="5"/>
    <x v="2"/>
    <n v="18000"/>
    <x v="2"/>
    <n v="54000"/>
    <x v="127"/>
    <n v="5400"/>
    <x v="9"/>
  </r>
  <r>
    <n v="1140"/>
    <d v="2025-10-23T00:00:00"/>
    <x v="7"/>
    <x v="2"/>
    <x v="2"/>
    <x v="6"/>
    <x v="9"/>
    <n v="250"/>
    <x v="1"/>
    <n v="500"/>
    <x v="128"/>
    <n v="25"/>
    <x v="3"/>
  </r>
  <r>
    <n v="1141"/>
    <d v="2025-02-13T00:00:00"/>
    <x v="3"/>
    <x v="0"/>
    <x v="3"/>
    <x v="0"/>
    <x v="1"/>
    <n v="800"/>
    <x v="4"/>
    <n v="3200"/>
    <x v="129"/>
    <n v="384"/>
    <x v="7"/>
  </r>
  <r>
    <n v="1142"/>
    <d v="2025-09-25T00:00:00"/>
    <x v="8"/>
    <x v="1"/>
    <x v="0"/>
    <x v="1"/>
    <x v="17"/>
    <n v="8500"/>
    <x v="2"/>
    <n v="127500"/>
    <x v="130"/>
    <n v="12750"/>
    <x v="9"/>
  </r>
  <r>
    <n v="1143"/>
    <d v="2025-06-06T00:00:00"/>
    <x v="6"/>
    <x v="1"/>
    <x v="1"/>
    <x v="0"/>
    <x v="12"/>
    <n v="9000"/>
    <x v="5"/>
    <n v="180000"/>
    <x v="131"/>
    <n v="0"/>
    <x v="11"/>
  </r>
  <r>
    <n v="1144"/>
    <d v="2025-11-17T00:00:00"/>
    <x v="3"/>
    <x v="0"/>
    <x v="1"/>
    <x v="7"/>
    <x v="7"/>
    <n v="800"/>
    <x v="0"/>
    <n v="7200"/>
    <x v="132"/>
    <n v="1080"/>
    <x v="0"/>
  </r>
  <r>
    <n v="1145"/>
    <d v="2025-05-03T00:00:00"/>
    <x v="1"/>
    <x v="0"/>
    <x v="2"/>
    <x v="2"/>
    <x v="3"/>
    <n v="1200"/>
    <x v="5"/>
    <n v="21600"/>
    <x v="133"/>
    <n v="0"/>
    <x v="4"/>
  </r>
  <r>
    <n v="1146"/>
    <d v="2025-07-29T00:00:00"/>
    <x v="10"/>
    <x v="1"/>
    <x v="0"/>
    <x v="2"/>
    <x v="12"/>
    <n v="15000"/>
    <x v="2"/>
    <n v="300000"/>
    <x v="134"/>
    <n v="30000"/>
    <x v="5"/>
  </r>
  <r>
    <n v="1147"/>
    <d v="2025-04-29T00:00:00"/>
    <x v="4"/>
    <x v="0"/>
    <x v="3"/>
    <x v="5"/>
    <x v="18"/>
    <n v="14000"/>
    <x v="0"/>
    <n v="140000"/>
    <x v="135"/>
    <n v="21000"/>
    <x v="1"/>
  </r>
  <r>
    <n v="1148"/>
    <d v="2025-12-18T00:00:00"/>
    <x v="3"/>
    <x v="0"/>
    <x v="2"/>
    <x v="1"/>
    <x v="7"/>
    <n v="800"/>
    <x v="0"/>
    <n v="7200"/>
    <x v="132"/>
    <n v="1080"/>
    <x v="8"/>
  </r>
  <r>
    <n v="1149"/>
    <d v="2025-02-28T00:00:00"/>
    <x v="5"/>
    <x v="1"/>
    <x v="2"/>
    <x v="6"/>
    <x v="6"/>
    <n v="11000"/>
    <x v="0"/>
    <n v="88000"/>
    <x v="136"/>
    <n v="13200"/>
    <x v="7"/>
  </r>
  <r>
    <n v="1150"/>
    <d v="2025-03-14T00:00:00"/>
    <x v="2"/>
    <x v="0"/>
    <x v="0"/>
    <x v="6"/>
    <x v="9"/>
    <n v="18000"/>
    <x v="1"/>
    <n v="36000"/>
    <x v="27"/>
    <n v="1800"/>
    <x v="10"/>
  </r>
  <r>
    <n v="1151"/>
    <d v="2025-08-13T00:00:00"/>
    <x v="0"/>
    <x v="0"/>
    <x v="0"/>
    <x v="1"/>
    <x v="17"/>
    <n v="18000"/>
    <x v="0"/>
    <n v="270000"/>
    <x v="137"/>
    <n v="40500"/>
    <x v="6"/>
  </r>
  <r>
    <n v="1152"/>
    <d v="2025-05-20T00:00:00"/>
    <x v="5"/>
    <x v="1"/>
    <x v="3"/>
    <x v="5"/>
    <x v="3"/>
    <n v="11000"/>
    <x v="2"/>
    <n v="198000"/>
    <x v="138"/>
    <n v="19800"/>
    <x v="4"/>
  </r>
  <r>
    <n v="1153"/>
    <d v="2025-11-03T00:00:00"/>
    <x v="2"/>
    <x v="0"/>
    <x v="0"/>
    <x v="6"/>
    <x v="15"/>
    <n v="55000"/>
    <x v="0"/>
    <n v="770000"/>
    <x v="139"/>
    <n v="115500"/>
    <x v="0"/>
  </r>
  <r>
    <n v="1154"/>
    <d v="2025-01-14T00:00:00"/>
    <x v="0"/>
    <x v="0"/>
    <x v="1"/>
    <x v="6"/>
    <x v="6"/>
    <n v="18000"/>
    <x v="0"/>
    <n v="144000"/>
    <x v="42"/>
    <n v="21600"/>
    <x v="2"/>
  </r>
  <r>
    <n v="1155"/>
    <d v="2025-10-23T00:00:00"/>
    <x v="2"/>
    <x v="0"/>
    <x v="3"/>
    <x v="6"/>
    <x v="8"/>
    <n v="55000"/>
    <x v="2"/>
    <n v="330000"/>
    <x v="140"/>
    <n v="33000"/>
    <x v="3"/>
  </r>
  <r>
    <n v="1156"/>
    <d v="2025-04-03T00:00:00"/>
    <x v="6"/>
    <x v="1"/>
    <x v="3"/>
    <x v="5"/>
    <x v="15"/>
    <n v="9000"/>
    <x v="0"/>
    <n v="126000"/>
    <x v="141"/>
    <n v="18900"/>
    <x v="1"/>
  </r>
  <r>
    <n v="1157"/>
    <d v="2025-08-29T00:00:00"/>
    <x v="9"/>
    <x v="0"/>
    <x v="0"/>
    <x v="5"/>
    <x v="15"/>
    <n v="2500"/>
    <x v="3"/>
    <n v="35000"/>
    <x v="142"/>
    <n v="2800"/>
    <x v="6"/>
  </r>
  <r>
    <n v="1158"/>
    <d v="2025-03-24T00:00:00"/>
    <x v="9"/>
    <x v="0"/>
    <x v="3"/>
    <x v="6"/>
    <x v="15"/>
    <n v="2500"/>
    <x v="0"/>
    <n v="35000"/>
    <x v="107"/>
    <n v="5250"/>
    <x v="10"/>
  </r>
  <r>
    <n v="1159"/>
    <d v="2025-12-06T00:00:00"/>
    <x v="8"/>
    <x v="1"/>
    <x v="3"/>
    <x v="5"/>
    <x v="3"/>
    <n v="8500"/>
    <x v="5"/>
    <n v="153000"/>
    <x v="143"/>
    <n v="0"/>
    <x v="8"/>
  </r>
  <r>
    <n v="1160"/>
    <d v="2025-06-11T00:00:00"/>
    <x v="4"/>
    <x v="0"/>
    <x v="3"/>
    <x v="2"/>
    <x v="16"/>
    <n v="14000"/>
    <x v="5"/>
    <n v="154000"/>
    <x v="144"/>
    <n v="0"/>
    <x v="11"/>
  </r>
  <r>
    <n v="1161"/>
    <d v="2025-12-03T00:00:00"/>
    <x v="13"/>
    <x v="0"/>
    <x v="3"/>
    <x v="2"/>
    <x v="3"/>
    <n v="42000"/>
    <x v="2"/>
    <n v="756000"/>
    <x v="145"/>
    <n v="75600"/>
    <x v="8"/>
  </r>
  <r>
    <n v="1162"/>
    <d v="2025-04-07T00:00:00"/>
    <x v="5"/>
    <x v="1"/>
    <x v="3"/>
    <x v="3"/>
    <x v="5"/>
    <n v="11000"/>
    <x v="4"/>
    <n v="132000"/>
    <x v="146"/>
    <n v="15840"/>
    <x v="1"/>
  </r>
  <r>
    <n v="1163"/>
    <d v="2025-01-27T00:00:00"/>
    <x v="3"/>
    <x v="0"/>
    <x v="2"/>
    <x v="6"/>
    <x v="7"/>
    <n v="800"/>
    <x v="4"/>
    <n v="7200"/>
    <x v="147"/>
    <n v="864"/>
    <x v="2"/>
  </r>
  <r>
    <n v="1164"/>
    <d v="2025-08-13T00:00:00"/>
    <x v="12"/>
    <x v="3"/>
    <x v="1"/>
    <x v="0"/>
    <x v="14"/>
    <n v="1800"/>
    <x v="5"/>
    <n v="28800"/>
    <x v="148"/>
    <n v="0"/>
    <x v="6"/>
  </r>
  <r>
    <n v="1165"/>
    <d v="2025-12-30T00:00:00"/>
    <x v="1"/>
    <x v="0"/>
    <x v="1"/>
    <x v="1"/>
    <x v="18"/>
    <n v="1200"/>
    <x v="4"/>
    <n v="12000"/>
    <x v="149"/>
    <n v="1440"/>
    <x v="8"/>
  </r>
  <r>
    <n v="1166"/>
    <d v="2025-02-17T00:00:00"/>
    <x v="3"/>
    <x v="0"/>
    <x v="1"/>
    <x v="7"/>
    <x v="1"/>
    <n v="800"/>
    <x v="2"/>
    <n v="3200"/>
    <x v="86"/>
    <n v="320"/>
    <x v="7"/>
  </r>
  <r>
    <n v="1167"/>
    <d v="2025-09-13T00:00:00"/>
    <x v="12"/>
    <x v="3"/>
    <x v="0"/>
    <x v="1"/>
    <x v="18"/>
    <n v="1800"/>
    <x v="4"/>
    <n v="18000"/>
    <x v="150"/>
    <n v="2160"/>
    <x v="9"/>
  </r>
  <r>
    <n v="1168"/>
    <d v="2025-09-05T00:00:00"/>
    <x v="10"/>
    <x v="1"/>
    <x v="2"/>
    <x v="1"/>
    <x v="6"/>
    <n v="15000"/>
    <x v="2"/>
    <n v="120000"/>
    <x v="47"/>
    <n v="12000"/>
    <x v="9"/>
  </r>
  <r>
    <n v="1169"/>
    <d v="2025-04-08T00:00:00"/>
    <x v="12"/>
    <x v="3"/>
    <x v="2"/>
    <x v="5"/>
    <x v="12"/>
    <n v="1800"/>
    <x v="4"/>
    <n v="36000"/>
    <x v="151"/>
    <n v="4320"/>
    <x v="1"/>
  </r>
  <r>
    <n v="1170"/>
    <d v="2025-05-22T00:00:00"/>
    <x v="11"/>
    <x v="3"/>
    <x v="0"/>
    <x v="2"/>
    <x v="15"/>
    <n v="3500"/>
    <x v="3"/>
    <n v="49000"/>
    <x v="152"/>
    <n v="3920"/>
    <x v="4"/>
  </r>
  <r>
    <n v="1171"/>
    <d v="2025-05-25T00:00:00"/>
    <x v="14"/>
    <x v="2"/>
    <x v="3"/>
    <x v="7"/>
    <x v="18"/>
    <n v="180"/>
    <x v="4"/>
    <n v="1800"/>
    <x v="76"/>
    <n v="216"/>
    <x v="4"/>
  </r>
  <r>
    <n v="1172"/>
    <d v="2025-08-17T00:00:00"/>
    <x v="5"/>
    <x v="1"/>
    <x v="0"/>
    <x v="1"/>
    <x v="14"/>
    <n v="11000"/>
    <x v="3"/>
    <n v="176000"/>
    <x v="153"/>
    <n v="14080"/>
    <x v="6"/>
  </r>
  <r>
    <n v="1173"/>
    <d v="2025-08-22T00:00:00"/>
    <x v="12"/>
    <x v="3"/>
    <x v="2"/>
    <x v="1"/>
    <x v="16"/>
    <n v="1800"/>
    <x v="1"/>
    <n v="19800"/>
    <x v="154"/>
    <n v="990"/>
    <x v="6"/>
  </r>
  <r>
    <n v="1174"/>
    <d v="2025-04-30T00:00:00"/>
    <x v="13"/>
    <x v="0"/>
    <x v="0"/>
    <x v="3"/>
    <x v="15"/>
    <n v="42000"/>
    <x v="5"/>
    <n v="588000"/>
    <x v="155"/>
    <n v="0"/>
    <x v="1"/>
  </r>
  <r>
    <n v="1175"/>
    <d v="2025-12-28T00:00:00"/>
    <x v="12"/>
    <x v="3"/>
    <x v="2"/>
    <x v="3"/>
    <x v="11"/>
    <n v="1800"/>
    <x v="2"/>
    <n v="23400"/>
    <x v="156"/>
    <n v="2340"/>
    <x v="8"/>
  </r>
  <r>
    <n v="1176"/>
    <d v="2025-01-19T00:00:00"/>
    <x v="1"/>
    <x v="0"/>
    <x v="0"/>
    <x v="5"/>
    <x v="13"/>
    <n v="1200"/>
    <x v="4"/>
    <n v="20400"/>
    <x v="157"/>
    <n v="2448"/>
    <x v="2"/>
  </r>
  <r>
    <n v="1177"/>
    <d v="2025-08-14T00:00:00"/>
    <x v="0"/>
    <x v="0"/>
    <x v="1"/>
    <x v="7"/>
    <x v="13"/>
    <n v="18000"/>
    <x v="2"/>
    <n v="306000"/>
    <x v="158"/>
    <n v="30600"/>
    <x v="6"/>
  </r>
  <r>
    <n v="1178"/>
    <d v="2025-07-29T00:00:00"/>
    <x v="13"/>
    <x v="0"/>
    <x v="3"/>
    <x v="6"/>
    <x v="19"/>
    <n v="42000"/>
    <x v="5"/>
    <n v="210000"/>
    <x v="159"/>
    <n v="0"/>
    <x v="5"/>
  </r>
  <r>
    <n v="1179"/>
    <d v="2025-06-23T00:00:00"/>
    <x v="6"/>
    <x v="1"/>
    <x v="1"/>
    <x v="4"/>
    <x v="11"/>
    <n v="9000"/>
    <x v="0"/>
    <n v="117000"/>
    <x v="160"/>
    <n v="17550"/>
    <x v="11"/>
  </r>
  <r>
    <n v="1180"/>
    <d v="2025-12-12T00:00:00"/>
    <x v="13"/>
    <x v="0"/>
    <x v="0"/>
    <x v="3"/>
    <x v="3"/>
    <n v="42000"/>
    <x v="2"/>
    <n v="756000"/>
    <x v="145"/>
    <n v="75600"/>
    <x v="8"/>
  </r>
  <r>
    <n v="1181"/>
    <d v="2025-10-05T00:00:00"/>
    <x v="2"/>
    <x v="0"/>
    <x v="2"/>
    <x v="6"/>
    <x v="12"/>
    <n v="55000"/>
    <x v="5"/>
    <n v="1100000"/>
    <x v="161"/>
    <n v="0"/>
    <x v="3"/>
  </r>
  <r>
    <n v="1182"/>
    <d v="2025-04-27T00:00:00"/>
    <x v="14"/>
    <x v="2"/>
    <x v="1"/>
    <x v="5"/>
    <x v="2"/>
    <n v="180"/>
    <x v="2"/>
    <n v="540"/>
    <x v="162"/>
    <n v="54"/>
    <x v="1"/>
  </r>
  <r>
    <n v="1183"/>
    <d v="2025-08-16T00:00:00"/>
    <x v="1"/>
    <x v="0"/>
    <x v="1"/>
    <x v="4"/>
    <x v="18"/>
    <n v="1200"/>
    <x v="5"/>
    <n v="12000"/>
    <x v="163"/>
    <n v="0"/>
    <x v="6"/>
  </r>
  <r>
    <n v="1184"/>
    <d v="2025-01-29T00:00:00"/>
    <x v="4"/>
    <x v="0"/>
    <x v="3"/>
    <x v="7"/>
    <x v="5"/>
    <n v="14000"/>
    <x v="3"/>
    <n v="168000"/>
    <x v="164"/>
    <n v="13440"/>
    <x v="2"/>
  </r>
  <r>
    <n v="1185"/>
    <d v="2025-05-06T00:00:00"/>
    <x v="5"/>
    <x v="1"/>
    <x v="2"/>
    <x v="7"/>
    <x v="15"/>
    <n v="11000"/>
    <x v="4"/>
    <n v="154000"/>
    <x v="60"/>
    <n v="18480"/>
    <x v="4"/>
  </r>
  <r>
    <n v="1186"/>
    <d v="2025-03-31T00:00:00"/>
    <x v="0"/>
    <x v="0"/>
    <x v="2"/>
    <x v="3"/>
    <x v="12"/>
    <n v="18000"/>
    <x v="2"/>
    <n v="360000"/>
    <x v="165"/>
    <n v="36000"/>
    <x v="10"/>
  </r>
  <r>
    <n v="1187"/>
    <d v="2025-10-26T00:00:00"/>
    <x v="1"/>
    <x v="0"/>
    <x v="0"/>
    <x v="3"/>
    <x v="6"/>
    <n v="1200"/>
    <x v="2"/>
    <n v="9600"/>
    <x v="166"/>
    <n v="960"/>
    <x v="3"/>
  </r>
  <r>
    <n v="1188"/>
    <d v="2025-05-11T00:00:00"/>
    <x v="7"/>
    <x v="2"/>
    <x v="0"/>
    <x v="7"/>
    <x v="0"/>
    <n v="250"/>
    <x v="2"/>
    <n v="250"/>
    <x v="167"/>
    <n v="25"/>
    <x v="4"/>
  </r>
  <r>
    <n v="1189"/>
    <d v="2025-02-07T00:00:00"/>
    <x v="10"/>
    <x v="1"/>
    <x v="0"/>
    <x v="1"/>
    <x v="5"/>
    <n v="15000"/>
    <x v="4"/>
    <n v="180000"/>
    <x v="81"/>
    <n v="21600"/>
    <x v="7"/>
  </r>
  <r>
    <n v="1190"/>
    <d v="2025-12-20T00:00:00"/>
    <x v="4"/>
    <x v="0"/>
    <x v="2"/>
    <x v="1"/>
    <x v="17"/>
    <n v="14000"/>
    <x v="3"/>
    <n v="210000"/>
    <x v="168"/>
    <n v="16800"/>
    <x v="8"/>
  </r>
  <r>
    <n v="1191"/>
    <d v="2025-09-05T00:00:00"/>
    <x v="0"/>
    <x v="0"/>
    <x v="0"/>
    <x v="6"/>
    <x v="6"/>
    <n v="18000"/>
    <x v="2"/>
    <n v="144000"/>
    <x v="169"/>
    <n v="14400"/>
    <x v="9"/>
  </r>
  <r>
    <n v="1192"/>
    <d v="2025-12-25T00:00:00"/>
    <x v="4"/>
    <x v="0"/>
    <x v="3"/>
    <x v="6"/>
    <x v="0"/>
    <n v="14000"/>
    <x v="0"/>
    <n v="14000"/>
    <x v="170"/>
    <n v="2100"/>
    <x v="8"/>
  </r>
  <r>
    <n v="1193"/>
    <d v="2025-01-05T00:00:00"/>
    <x v="6"/>
    <x v="1"/>
    <x v="3"/>
    <x v="6"/>
    <x v="9"/>
    <n v="9000"/>
    <x v="4"/>
    <n v="18000"/>
    <x v="150"/>
    <n v="2160"/>
    <x v="2"/>
  </r>
  <r>
    <n v="1194"/>
    <d v="2025-04-28T00:00:00"/>
    <x v="6"/>
    <x v="1"/>
    <x v="2"/>
    <x v="6"/>
    <x v="5"/>
    <n v="9000"/>
    <x v="1"/>
    <n v="108000"/>
    <x v="171"/>
    <n v="5400"/>
    <x v="1"/>
  </r>
  <r>
    <n v="1195"/>
    <d v="2025-12-14T00:00:00"/>
    <x v="11"/>
    <x v="3"/>
    <x v="1"/>
    <x v="2"/>
    <x v="19"/>
    <n v="3500"/>
    <x v="0"/>
    <n v="17500"/>
    <x v="11"/>
    <n v="2625"/>
    <x v="8"/>
  </r>
  <r>
    <n v="1196"/>
    <d v="2025-06-08T00:00:00"/>
    <x v="11"/>
    <x v="3"/>
    <x v="0"/>
    <x v="7"/>
    <x v="17"/>
    <n v="3500"/>
    <x v="5"/>
    <n v="52500"/>
    <x v="172"/>
    <n v="0"/>
    <x v="11"/>
  </r>
  <r>
    <n v="1197"/>
    <d v="2025-02-16T00:00:00"/>
    <x v="12"/>
    <x v="3"/>
    <x v="3"/>
    <x v="7"/>
    <x v="18"/>
    <n v="1800"/>
    <x v="3"/>
    <n v="18000"/>
    <x v="173"/>
    <n v="1440"/>
    <x v="7"/>
  </r>
  <r>
    <n v="1198"/>
    <d v="2025-04-13T00:00:00"/>
    <x v="1"/>
    <x v="0"/>
    <x v="0"/>
    <x v="7"/>
    <x v="3"/>
    <n v="1200"/>
    <x v="3"/>
    <n v="21600"/>
    <x v="174"/>
    <n v="1728"/>
    <x v="1"/>
  </r>
  <r>
    <n v="1199"/>
    <d v="2025-05-12T00:00:00"/>
    <x v="12"/>
    <x v="3"/>
    <x v="0"/>
    <x v="5"/>
    <x v="14"/>
    <n v="1800"/>
    <x v="3"/>
    <n v="28800"/>
    <x v="175"/>
    <n v="2304"/>
    <x v="4"/>
  </r>
  <r>
    <n v="1200"/>
    <d v="2025-08-28T00:00:00"/>
    <x v="0"/>
    <x v="0"/>
    <x v="3"/>
    <x v="4"/>
    <x v="19"/>
    <n v="18000"/>
    <x v="1"/>
    <n v="90000"/>
    <x v="176"/>
    <n v="4500"/>
    <x v="6"/>
  </r>
  <r>
    <n v="1201"/>
    <d v="2025-02-16T00:00:00"/>
    <x v="11"/>
    <x v="3"/>
    <x v="0"/>
    <x v="5"/>
    <x v="11"/>
    <n v="3500"/>
    <x v="5"/>
    <n v="45500"/>
    <x v="177"/>
    <n v="0"/>
    <x v="7"/>
  </r>
  <r>
    <n v="1202"/>
    <d v="2025-08-21T00:00:00"/>
    <x v="9"/>
    <x v="0"/>
    <x v="3"/>
    <x v="4"/>
    <x v="7"/>
    <n v="2500"/>
    <x v="4"/>
    <n v="22500"/>
    <x v="178"/>
    <n v="2700"/>
    <x v="6"/>
  </r>
  <r>
    <n v="1203"/>
    <d v="2025-02-25T00:00:00"/>
    <x v="7"/>
    <x v="2"/>
    <x v="1"/>
    <x v="4"/>
    <x v="6"/>
    <n v="250"/>
    <x v="2"/>
    <n v="2000"/>
    <x v="179"/>
    <n v="200"/>
    <x v="7"/>
  </r>
  <r>
    <n v="1204"/>
    <d v="2025-11-09T00:00:00"/>
    <x v="3"/>
    <x v="0"/>
    <x v="3"/>
    <x v="6"/>
    <x v="2"/>
    <n v="800"/>
    <x v="0"/>
    <n v="2400"/>
    <x v="180"/>
    <n v="360"/>
    <x v="0"/>
  </r>
  <r>
    <n v="1205"/>
    <d v="2025-11-29T00:00:00"/>
    <x v="8"/>
    <x v="1"/>
    <x v="1"/>
    <x v="2"/>
    <x v="1"/>
    <n v="8500"/>
    <x v="1"/>
    <n v="34000"/>
    <x v="181"/>
    <n v="1700"/>
    <x v="0"/>
  </r>
  <r>
    <n v="1206"/>
    <d v="2025-06-05T00:00:00"/>
    <x v="10"/>
    <x v="1"/>
    <x v="2"/>
    <x v="7"/>
    <x v="1"/>
    <n v="15000"/>
    <x v="5"/>
    <n v="60000"/>
    <x v="182"/>
    <n v="0"/>
    <x v="11"/>
  </r>
  <r>
    <n v="1207"/>
    <d v="2025-07-18T00:00:00"/>
    <x v="10"/>
    <x v="1"/>
    <x v="3"/>
    <x v="7"/>
    <x v="5"/>
    <n v="15000"/>
    <x v="0"/>
    <n v="180000"/>
    <x v="143"/>
    <n v="27000"/>
    <x v="5"/>
  </r>
  <r>
    <n v="1208"/>
    <d v="2025-08-01T00:00:00"/>
    <x v="7"/>
    <x v="2"/>
    <x v="3"/>
    <x v="6"/>
    <x v="1"/>
    <n v="250"/>
    <x v="2"/>
    <n v="1000"/>
    <x v="183"/>
    <n v="100"/>
    <x v="6"/>
  </r>
  <r>
    <n v="1209"/>
    <d v="2025-01-17T00:00:00"/>
    <x v="14"/>
    <x v="2"/>
    <x v="3"/>
    <x v="3"/>
    <x v="5"/>
    <n v="180"/>
    <x v="1"/>
    <n v="2160"/>
    <x v="184"/>
    <n v="108"/>
    <x v="2"/>
  </r>
  <r>
    <n v="1210"/>
    <d v="2025-05-01T00:00:00"/>
    <x v="13"/>
    <x v="0"/>
    <x v="0"/>
    <x v="4"/>
    <x v="5"/>
    <n v="42000"/>
    <x v="5"/>
    <n v="504000"/>
    <x v="185"/>
    <n v="0"/>
    <x v="4"/>
  </r>
  <r>
    <n v="1211"/>
    <d v="2025-02-01T00:00:00"/>
    <x v="8"/>
    <x v="1"/>
    <x v="1"/>
    <x v="3"/>
    <x v="7"/>
    <n v="8500"/>
    <x v="1"/>
    <n v="76500"/>
    <x v="186"/>
    <n v="3825"/>
    <x v="7"/>
  </r>
  <r>
    <n v="1212"/>
    <d v="2025-02-16T00:00:00"/>
    <x v="7"/>
    <x v="2"/>
    <x v="1"/>
    <x v="2"/>
    <x v="4"/>
    <n v="250"/>
    <x v="0"/>
    <n v="1750"/>
    <x v="187"/>
    <n v="262.5"/>
    <x v="7"/>
  </r>
  <r>
    <n v="1213"/>
    <d v="2025-06-20T00:00:00"/>
    <x v="3"/>
    <x v="0"/>
    <x v="2"/>
    <x v="5"/>
    <x v="19"/>
    <n v="800"/>
    <x v="4"/>
    <n v="4000"/>
    <x v="188"/>
    <n v="480"/>
    <x v="11"/>
  </r>
  <r>
    <n v="1214"/>
    <d v="2025-10-11T00:00:00"/>
    <x v="3"/>
    <x v="0"/>
    <x v="2"/>
    <x v="4"/>
    <x v="10"/>
    <n v="800"/>
    <x v="1"/>
    <n v="15200"/>
    <x v="189"/>
    <n v="760"/>
    <x v="3"/>
  </r>
  <r>
    <n v="1215"/>
    <d v="2025-03-17T00:00:00"/>
    <x v="11"/>
    <x v="3"/>
    <x v="0"/>
    <x v="7"/>
    <x v="12"/>
    <n v="3500"/>
    <x v="5"/>
    <n v="70000"/>
    <x v="190"/>
    <n v="0"/>
    <x v="10"/>
  </r>
  <r>
    <n v="1216"/>
    <d v="2025-03-08T00:00:00"/>
    <x v="5"/>
    <x v="1"/>
    <x v="1"/>
    <x v="2"/>
    <x v="7"/>
    <n v="11000"/>
    <x v="1"/>
    <n v="99000"/>
    <x v="191"/>
    <n v="4950"/>
    <x v="10"/>
  </r>
  <r>
    <n v="1217"/>
    <d v="2025-03-09T00:00:00"/>
    <x v="2"/>
    <x v="0"/>
    <x v="0"/>
    <x v="2"/>
    <x v="5"/>
    <n v="55000"/>
    <x v="1"/>
    <n v="660000"/>
    <x v="192"/>
    <n v="33000"/>
    <x v="10"/>
  </r>
  <r>
    <n v="1218"/>
    <d v="2025-03-31T00:00:00"/>
    <x v="4"/>
    <x v="0"/>
    <x v="3"/>
    <x v="5"/>
    <x v="9"/>
    <n v="14000"/>
    <x v="1"/>
    <n v="28000"/>
    <x v="193"/>
    <n v="1400"/>
    <x v="10"/>
  </r>
  <r>
    <n v="1219"/>
    <d v="2025-02-02T00:00:00"/>
    <x v="10"/>
    <x v="1"/>
    <x v="1"/>
    <x v="3"/>
    <x v="17"/>
    <n v="15000"/>
    <x v="3"/>
    <n v="225000"/>
    <x v="194"/>
    <n v="18000"/>
    <x v="7"/>
  </r>
  <r>
    <n v="1220"/>
    <d v="2025-09-15T00:00:00"/>
    <x v="3"/>
    <x v="0"/>
    <x v="0"/>
    <x v="3"/>
    <x v="12"/>
    <n v="800"/>
    <x v="5"/>
    <n v="16000"/>
    <x v="195"/>
    <n v="0"/>
    <x v="9"/>
  </r>
  <r>
    <n v="1221"/>
    <d v="2025-11-26T00:00:00"/>
    <x v="2"/>
    <x v="0"/>
    <x v="3"/>
    <x v="1"/>
    <x v="9"/>
    <n v="55000"/>
    <x v="2"/>
    <n v="110000"/>
    <x v="196"/>
    <n v="11000"/>
    <x v="0"/>
  </r>
  <r>
    <n v="1222"/>
    <d v="2025-12-18T00:00:00"/>
    <x v="0"/>
    <x v="0"/>
    <x v="3"/>
    <x v="5"/>
    <x v="14"/>
    <n v="18000"/>
    <x v="0"/>
    <n v="288000"/>
    <x v="197"/>
    <n v="43200"/>
    <x v="8"/>
  </r>
  <r>
    <n v="1223"/>
    <d v="2025-02-11T00:00:00"/>
    <x v="9"/>
    <x v="0"/>
    <x v="1"/>
    <x v="7"/>
    <x v="12"/>
    <n v="2500"/>
    <x v="1"/>
    <n v="50000"/>
    <x v="198"/>
    <n v="2500"/>
    <x v="7"/>
  </r>
  <r>
    <n v="1224"/>
    <d v="2025-05-21T00:00:00"/>
    <x v="6"/>
    <x v="1"/>
    <x v="0"/>
    <x v="1"/>
    <x v="10"/>
    <n v="9000"/>
    <x v="4"/>
    <n v="171000"/>
    <x v="199"/>
    <n v="20520"/>
    <x v="4"/>
  </r>
  <r>
    <n v="1225"/>
    <d v="2025-11-02T00:00:00"/>
    <x v="5"/>
    <x v="1"/>
    <x v="1"/>
    <x v="5"/>
    <x v="18"/>
    <n v="11000"/>
    <x v="2"/>
    <n v="110000"/>
    <x v="196"/>
    <n v="11000"/>
    <x v="0"/>
  </r>
  <r>
    <n v="1226"/>
    <d v="2025-12-26T00:00:00"/>
    <x v="0"/>
    <x v="0"/>
    <x v="2"/>
    <x v="1"/>
    <x v="3"/>
    <n v="18000"/>
    <x v="0"/>
    <n v="324000"/>
    <x v="158"/>
    <n v="48600"/>
    <x v="8"/>
  </r>
  <r>
    <n v="1227"/>
    <d v="2025-08-20T00:00:00"/>
    <x v="12"/>
    <x v="3"/>
    <x v="0"/>
    <x v="3"/>
    <x v="6"/>
    <n v="1800"/>
    <x v="2"/>
    <n v="14400"/>
    <x v="3"/>
    <n v="1440"/>
    <x v="6"/>
  </r>
  <r>
    <n v="1228"/>
    <d v="2025-07-24T00:00:00"/>
    <x v="8"/>
    <x v="1"/>
    <x v="3"/>
    <x v="4"/>
    <x v="1"/>
    <n v="8500"/>
    <x v="3"/>
    <n v="34000"/>
    <x v="200"/>
    <n v="2720"/>
    <x v="5"/>
  </r>
  <r>
    <n v="1229"/>
    <d v="2025-12-07T00:00:00"/>
    <x v="4"/>
    <x v="0"/>
    <x v="3"/>
    <x v="5"/>
    <x v="5"/>
    <n v="14000"/>
    <x v="1"/>
    <n v="168000"/>
    <x v="104"/>
    <n v="8400"/>
    <x v="8"/>
  </r>
  <r>
    <n v="1230"/>
    <d v="2025-02-16T00:00:00"/>
    <x v="13"/>
    <x v="0"/>
    <x v="3"/>
    <x v="5"/>
    <x v="2"/>
    <n v="42000"/>
    <x v="5"/>
    <n v="126000"/>
    <x v="201"/>
    <n v="0"/>
    <x v="7"/>
  </r>
  <r>
    <n v="1231"/>
    <d v="2025-07-10T00:00:00"/>
    <x v="11"/>
    <x v="3"/>
    <x v="1"/>
    <x v="4"/>
    <x v="19"/>
    <n v="3500"/>
    <x v="4"/>
    <n v="17500"/>
    <x v="202"/>
    <n v="2100"/>
    <x v="5"/>
  </r>
  <r>
    <n v="1232"/>
    <d v="2025-12-10T00:00:00"/>
    <x v="0"/>
    <x v="0"/>
    <x v="3"/>
    <x v="2"/>
    <x v="15"/>
    <n v="18000"/>
    <x v="3"/>
    <n v="252000"/>
    <x v="59"/>
    <n v="20160"/>
    <x v="8"/>
  </r>
  <r>
    <n v="1233"/>
    <d v="2025-05-28T00:00:00"/>
    <x v="6"/>
    <x v="1"/>
    <x v="1"/>
    <x v="0"/>
    <x v="18"/>
    <n v="9000"/>
    <x v="3"/>
    <n v="90000"/>
    <x v="203"/>
    <n v="7200"/>
    <x v="4"/>
  </r>
  <r>
    <n v="1234"/>
    <d v="2025-03-21T00:00:00"/>
    <x v="7"/>
    <x v="2"/>
    <x v="1"/>
    <x v="4"/>
    <x v="14"/>
    <n v="250"/>
    <x v="1"/>
    <n v="4000"/>
    <x v="35"/>
    <n v="200"/>
    <x v="10"/>
  </r>
  <r>
    <n v="1235"/>
    <d v="2025-10-12T00:00:00"/>
    <x v="9"/>
    <x v="0"/>
    <x v="2"/>
    <x v="1"/>
    <x v="1"/>
    <n v="2500"/>
    <x v="3"/>
    <n v="10000"/>
    <x v="204"/>
    <n v="800"/>
    <x v="3"/>
  </r>
  <r>
    <n v="1236"/>
    <d v="2025-10-15T00:00:00"/>
    <x v="11"/>
    <x v="3"/>
    <x v="1"/>
    <x v="6"/>
    <x v="12"/>
    <n v="3500"/>
    <x v="4"/>
    <n v="70000"/>
    <x v="205"/>
    <n v="8400"/>
    <x v="3"/>
  </r>
  <r>
    <n v="1237"/>
    <d v="2025-01-15T00:00:00"/>
    <x v="1"/>
    <x v="0"/>
    <x v="0"/>
    <x v="4"/>
    <x v="7"/>
    <n v="1200"/>
    <x v="0"/>
    <n v="10800"/>
    <x v="206"/>
    <n v="1620"/>
    <x v="2"/>
  </r>
  <r>
    <n v="1238"/>
    <d v="2025-06-29T00:00:00"/>
    <x v="2"/>
    <x v="0"/>
    <x v="3"/>
    <x v="5"/>
    <x v="8"/>
    <n v="55000"/>
    <x v="1"/>
    <n v="330000"/>
    <x v="207"/>
    <n v="16500"/>
    <x v="11"/>
  </r>
  <r>
    <n v="1239"/>
    <d v="2025-03-14T00:00:00"/>
    <x v="14"/>
    <x v="2"/>
    <x v="2"/>
    <x v="1"/>
    <x v="0"/>
    <n v="180"/>
    <x v="5"/>
    <n v="180"/>
    <x v="208"/>
    <n v="0"/>
    <x v="10"/>
  </r>
  <r>
    <n v="1240"/>
    <d v="2025-08-03T00:00:00"/>
    <x v="10"/>
    <x v="1"/>
    <x v="0"/>
    <x v="6"/>
    <x v="16"/>
    <n v="15000"/>
    <x v="1"/>
    <n v="165000"/>
    <x v="2"/>
    <n v="8250"/>
    <x v="6"/>
  </r>
  <r>
    <n v="1241"/>
    <d v="2025-06-16T00:00:00"/>
    <x v="11"/>
    <x v="3"/>
    <x v="1"/>
    <x v="2"/>
    <x v="10"/>
    <n v="3500"/>
    <x v="4"/>
    <n v="66500"/>
    <x v="79"/>
    <n v="7980"/>
    <x v="11"/>
  </r>
  <r>
    <n v="1242"/>
    <d v="2025-03-21T00:00:00"/>
    <x v="1"/>
    <x v="0"/>
    <x v="1"/>
    <x v="6"/>
    <x v="12"/>
    <n v="1200"/>
    <x v="5"/>
    <n v="24000"/>
    <x v="209"/>
    <n v="0"/>
    <x v="10"/>
  </r>
  <r>
    <n v="1243"/>
    <d v="2025-08-15T00:00:00"/>
    <x v="7"/>
    <x v="2"/>
    <x v="3"/>
    <x v="1"/>
    <x v="15"/>
    <n v="250"/>
    <x v="2"/>
    <n v="3500"/>
    <x v="210"/>
    <n v="350"/>
    <x v="6"/>
  </r>
  <r>
    <n v="1244"/>
    <d v="2025-05-20T00:00:00"/>
    <x v="3"/>
    <x v="0"/>
    <x v="0"/>
    <x v="1"/>
    <x v="13"/>
    <n v="800"/>
    <x v="5"/>
    <n v="13600"/>
    <x v="211"/>
    <n v="0"/>
    <x v="4"/>
  </r>
  <r>
    <n v="1245"/>
    <d v="2025-02-26T00:00:00"/>
    <x v="4"/>
    <x v="0"/>
    <x v="0"/>
    <x v="2"/>
    <x v="10"/>
    <n v="14000"/>
    <x v="2"/>
    <n v="266000"/>
    <x v="65"/>
    <n v="26600"/>
    <x v="7"/>
  </r>
  <r>
    <n v="1246"/>
    <d v="2025-04-23T00:00:00"/>
    <x v="8"/>
    <x v="1"/>
    <x v="1"/>
    <x v="0"/>
    <x v="12"/>
    <n v="8500"/>
    <x v="5"/>
    <n v="170000"/>
    <x v="20"/>
    <n v="0"/>
    <x v="1"/>
  </r>
  <r>
    <n v="1247"/>
    <d v="2025-06-04T00:00:00"/>
    <x v="3"/>
    <x v="0"/>
    <x v="0"/>
    <x v="4"/>
    <x v="19"/>
    <n v="800"/>
    <x v="3"/>
    <n v="4000"/>
    <x v="212"/>
    <n v="320"/>
    <x v="11"/>
  </r>
  <r>
    <n v="1248"/>
    <d v="2025-03-03T00:00:00"/>
    <x v="2"/>
    <x v="0"/>
    <x v="3"/>
    <x v="7"/>
    <x v="14"/>
    <n v="55000"/>
    <x v="0"/>
    <n v="880000"/>
    <x v="213"/>
    <n v="132000"/>
    <x v="10"/>
  </r>
  <r>
    <n v="1249"/>
    <d v="2025-03-08T00:00:00"/>
    <x v="8"/>
    <x v="1"/>
    <x v="2"/>
    <x v="4"/>
    <x v="3"/>
    <n v="8500"/>
    <x v="0"/>
    <n v="153000"/>
    <x v="214"/>
    <n v="22950"/>
    <x v="10"/>
  </r>
  <r>
    <n v="1250"/>
    <d v="2025-02-06T00:00:00"/>
    <x v="8"/>
    <x v="1"/>
    <x v="1"/>
    <x v="3"/>
    <x v="9"/>
    <n v="8500"/>
    <x v="2"/>
    <n v="17000"/>
    <x v="0"/>
    <n v="1700"/>
    <x v="7"/>
  </r>
  <r>
    <n v="1251"/>
    <d v="2025-02-09T00:00:00"/>
    <x v="13"/>
    <x v="0"/>
    <x v="3"/>
    <x v="1"/>
    <x v="16"/>
    <n v="42000"/>
    <x v="4"/>
    <n v="462000"/>
    <x v="215"/>
    <n v="55440"/>
    <x v="7"/>
  </r>
  <r>
    <n v="1252"/>
    <d v="2025-12-30T00:00:00"/>
    <x v="7"/>
    <x v="2"/>
    <x v="1"/>
    <x v="1"/>
    <x v="15"/>
    <n v="250"/>
    <x v="3"/>
    <n v="3500"/>
    <x v="37"/>
    <n v="280"/>
    <x v="8"/>
  </r>
  <r>
    <n v="1253"/>
    <d v="2025-01-11T00:00:00"/>
    <x v="9"/>
    <x v="0"/>
    <x v="3"/>
    <x v="4"/>
    <x v="8"/>
    <n v="2500"/>
    <x v="4"/>
    <n v="15000"/>
    <x v="216"/>
    <n v="1800"/>
    <x v="2"/>
  </r>
  <r>
    <n v="1254"/>
    <d v="2025-02-15T00:00:00"/>
    <x v="8"/>
    <x v="1"/>
    <x v="3"/>
    <x v="1"/>
    <x v="1"/>
    <n v="8500"/>
    <x v="1"/>
    <n v="34000"/>
    <x v="181"/>
    <n v="1700"/>
    <x v="7"/>
  </r>
  <r>
    <n v="1255"/>
    <d v="2025-09-26T00:00:00"/>
    <x v="0"/>
    <x v="0"/>
    <x v="0"/>
    <x v="0"/>
    <x v="11"/>
    <n v="18000"/>
    <x v="3"/>
    <n v="234000"/>
    <x v="217"/>
    <n v="18720"/>
    <x v="9"/>
  </r>
  <r>
    <n v="1256"/>
    <d v="2025-06-20T00:00:00"/>
    <x v="11"/>
    <x v="3"/>
    <x v="1"/>
    <x v="0"/>
    <x v="8"/>
    <n v="3500"/>
    <x v="5"/>
    <n v="21000"/>
    <x v="218"/>
    <n v="0"/>
    <x v="11"/>
  </r>
  <r>
    <n v="1257"/>
    <d v="2025-06-28T00:00:00"/>
    <x v="9"/>
    <x v="0"/>
    <x v="1"/>
    <x v="7"/>
    <x v="19"/>
    <n v="2500"/>
    <x v="1"/>
    <n v="12500"/>
    <x v="219"/>
    <n v="625"/>
    <x v="11"/>
  </r>
  <r>
    <n v="1258"/>
    <d v="2025-05-12T00:00:00"/>
    <x v="3"/>
    <x v="0"/>
    <x v="2"/>
    <x v="5"/>
    <x v="8"/>
    <n v="800"/>
    <x v="4"/>
    <n v="4800"/>
    <x v="220"/>
    <n v="576"/>
    <x v="4"/>
  </r>
  <r>
    <n v="1259"/>
    <d v="2025-04-01T00:00:00"/>
    <x v="11"/>
    <x v="3"/>
    <x v="3"/>
    <x v="4"/>
    <x v="14"/>
    <n v="3500"/>
    <x v="2"/>
    <n v="56000"/>
    <x v="36"/>
    <n v="5600"/>
    <x v="1"/>
  </r>
  <r>
    <n v="1260"/>
    <d v="2025-11-18T00:00:00"/>
    <x v="9"/>
    <x v="0"/>
    <x v="1"/>
    <x v="3"/>
    <x v="19"/>
    <n v="2500"/>
    <x v="2"/>
    <n v="12500"/>
    <x v="221"/>
    <n v="1250"/>
    <x v="0"/>
  </r>
  <r>
    <n v="1261"/>
    <d v="2025-08-15T00:00:00"/>
    <x v="7"/>
    <x v="2"/>
    <x v="1"/>
    <x v="4"/>
    <x v="18"/>
    <n v="250"/>
    <x v="3"/>
    <n v="2500"/>
    <x v="222"/>
    <n v="200"/>
    <x v="6"/>
  </r>
  <r>
    <n v="1262"/>
    <d v="2025-09-17T00:00:00"/>
    <x v="0"/>
    <x v="0"/>
    <x v="3"/>
    <x v="2"/>
    <x v="18"/>
    <n v="18000"/>
    <x v="2"/>
    <n v="180000"/>
    <x v="96"/>
    <n v="18000"/>
    <x v="9"/>
  </r>
  <r>
    <n v="1263"/>
    <d v="2025-01-30T00:00:00"/>
    <x v="9"/>
    <x v="0"/>
    <x v="1"/>
    <x v="1"/>
    <x v="18"/>
    <n v="2500"/>
    <x v="5"/>
    <n v="25000"/>
    <x v="223"/>
    <n v="0"/>
    <x v="2"/>
  </r>
  <r>
    <n v="1264"/>
    <d v="2025-08-25T00:00:00"/>
    <x v="6"/>
    <x v="1"/>
    <x v="1"/>
    <x v="3"/>
    <x v="3"/>
    <n v="9000"/>
    <x v="0"/>
    <n v="162000"/>
    <x v="224"/>
    <n v="24300"/>
    <x v="6"/>
  </r>
  <r>
    <n v="1265"/>
    <d v="2025-10-20T00:00:00"/>
    <x v="7"/>
    <x v="2"/>
    <x v="3"/>
    <x v="7"/>
    <x v="4"/>
    <n v="250"/>
    <x v="3"/>
    <n v="1750"/>
    <x v="225"/>
    <n v="140"/>
    <x v="3"/>
  </r>
  <r>
    <n v="1266"/>
    <d v="2025-02-01T00:00:00"/>
    <x v="10"/>
    <x v="1"/>
    <x v="1"/>
    <x v="7"/>
    <x v="1"/>
    <n v="15000"/>
    <x v="3"/>
    <n v="60000"/>
    <x v="226"/>
    <n v="4800"/>
    <x v="7"/>
  </r>
  <r>
    <n v="1267"/>
    <d v="2025-01-21T00:00:00"/>
    <x v="3"/>
    <x v="0"/>
    <x v="2"/>
    <x v="4"/>
    <x v="17"/>
    <n v="800"/>
    <x v="2"/>
    <n v="12000"/>
    <x v="227"/>
    <n v="1200"/>
    <x v="2"/>
  </r>
  <r>
    <n v="1268"/>
    <d v="2025-07-10T00:00:00"/>
    <x v="12"/>
    <x v="3"/>
    <x v="3"/>
    <x v="4"/>
    <x v="18"/>
    <n v="1800"/>
    <x v="2"/>
    <n v="18000"/>
    <x v="228"/>
    <n v="1800"/>
    <x v="5"/>
  </r>
  <r>
    <n v="1269"/>
    <d v="2025-12-14T00:00:00"/>
    <x v="6"/>
    <x v="1"/>
    <x v="0"/>
    <x v="5"/>
    <x v="9"/>
    <n v="9000"/>
    <x v="0"/>
    <n v="18000"/>
    <x v="0"/>
    <n v="2700"/>
    <x v="8"/>
  </r>
  <r>
    <n v="1270"/>
    <d v="2025-06-18T00:00:00"/>
    <x v="0"/>
    <x v="0"/>
    <x v="3"/>
    <x v="6"/>
    <x v="3"/>
    <n v="18000"/>
    <x v="0"/>
    <n v="324000"/>
    <x v="158"/>
    <n v="48600"/>
    <x v="11"/>
  </r>
  <r>
    <n v="1271"/>
    <d v="2025-05-10T00:00:00"/>
    <x v="14"/>
    <x v="2"/>
    <x v="0"/>
    <x v="5"/>
    <x v="12"/>
    <n v="180"/>
    <x v="1"/>
    <n v="3600"/>
    <x v="229"/>
    <n v="180"/>
    <x v="4"/>
  </r>
  <r>
    <n v="1272"/>
    <d v="2025-10-26T00:00:00"/>
    <x v="7"/>
    <x v="2"/>
    <x v="0"/>
    <x v="1"/>
    <x v="19"/>
    <n v="250"/>
    <x v="3"/>
    <n v="1250"/>
    <x v="230"/>
    <n v="100"/>
    <x v="3"/>
  </r>
  <r>
    <n v="1273"/>
    <d v="2025-03-08T00:00:00"/>
    <x v="6"/>
    <x v="1"/>
    <x v="3"/>
    <x v="4"/>
    <x v="2"/>
    <n v="9000"/>
    <x v="3"/>
    <n v="27000"/>
    <x v="231"/>
    <n v="2160"/>
    <x v="10"/>
  </r>
  <r>
    <n v="1274"/>
    <d v="2025-03-07T00:00:00"/>
    <x v="7"/>
    <x v="2"/>
    <x v="3"/>
    <x v="4"/>
    <x v="13"/>
    <n v="250"/>
    <x v="5"/>
    <n v="4250"/>
    <x v="232"/>
    <n v="0"/>
    <x v="10"/>
  </r>
  <r>
    <n v="1275"/>
    <d v="2025-01-10T00:00:00"/>
    <x v="9"/>
    <x v="0"/>
    <x v="2"/>
    <x v="4"/>
    <x v="18"/>
    <n v="2500"/>
    <x v="1"/>
    <n v="25000"/>
    <x v="233"/>
    <n v="1250"/>
    <x v="2"/>
  </r>
  <r>
    <n v="1276"/>
    <d v="2025-09-06T00:00:00"/>
    <x v="3"/>
    <x v="0"/>
    <x v="2"/>
    <x v="5"/>
    <x v="6"/>
    <n v="800"/>
    <x v="1"/>
    <n v="6400"/>
    <x v="234"/>
    <n v="320"/>
    <x v="9"/>
  </r>
  <r>
    <n v="1277"/>
    <d v="2025-06-01T00:00:00"/>
    <x v="13"/>
    <x v="0"/>
    <x v="1"/>
    <x v="4"/>
    <x v="1"/>
    <n v="42000"/>
    <x v="4"/>
    <n v="168000"/>
    <x v="235"/>
    <n v="20160"/>
    <x v="11"/>
  </r>
  <r>
    <n v="1278"/>
    <d v="2025-11-13T00:00:00"/>
    <x v="1"/>
    <x v="0"/>
    <x v="2"/>
    <x v="7"/>
    <x v="12"/>
    <n v="1200"/>
    <x v="2"/>
    <n v="24000"/>
    <x v="133"/>
    <n v="2400"/>
    <x v="0"/>
  </r>
  <r>
    <n v="1279"/>
    <d v="2025-04-03T00:00:00"/>
    <x v="13"/>
    <x v="0"/>
    <x v="3"/>
    <x v="2"/>
    <x v="12"/>
    <n v="42000"/>
    <x v="1"/>
    <n v="840000"/>
    <x v="236"/>
    <n v="42000"/>
    <x v="1"/>
  </r>
  <r>
    <n v="1280"/>
    <d v="2025-07-30T00:00:00"/>
    <x v="9"/>
    <x v="0"/>
    <x v="0"/>
    <x v="3"/>
    <x v="6"/>
    <n v="2500"/>
    <x v="2"/>
    <n v="20000"/>
    <x v="237"/>
    <n v="2000"/>
    <x v="5"/>
  </r>
  <r>
    <n v="1281"/>
    <d v="2025-04-30T00:00:00"/>
    <x v="5"/>
    <x v="1"/>
    <x v="3"/>
    <x v="0"/>
    <x v="6"/>
    <n v="11000"/>
    <x v="3"/>
    <n v="88000"/>
    <x v="238"/>
    <n v="7040"/>
    <x v="1"/>
  </r>
  <r>
    <n v="1282"/>
    <d v="2025-07-08T00:00:00"/>
    <x v="7"/>
    <x v="2"/>
    <x v="3"/>
    <x v="6"/>
    <x v="10"/>
    <n v="250"/>
    <x v="2"/>
    <n v="4750"/>
    <x v="239"/>
    <n v="475"/>
    <x v="5"/>
  </r>
  <r>
    <n v="1283"/>
    <d v="2025-07-15T00:00:00"/>
    <x v="5"/>
    <x v="1"/>
    <x v="2"/>
    <x v="0"/>
    <x v="13"/>
    <n v="11000"/>
    <x v="2"/>
    <n v="187000"/>
    <x v="240"/>
    <n v="18700"/>
    <x v="5"/>
  </r>
  <r>
    <n v="1284"/>
    <d v="2025-11-06T00:00:00"/>
    <x v="1"/>
    <x v="0"/>
    <x v="3"/>
    <x v="4"/>
    <x v="7"/>
    <n v="1200"/>
    <x v="5"/>
    <n v="10800"/>
    <x v="227"/>
    <n v="0"/>
    <x v="0"/>
  </r>
  <r>
    <n v="1285"/>
    <d v="2025-10-11T00:00:00"/>
    <x v="12"/>
    <x v="3"/>
    <x v="1"/>
    <x v="6"/>
    <x v="1"/>
    <n v="1800"/>
    <x v="0"/>
    <n v="7200"/>
    <x v="132"/>
    <n v="1080"/>
    <x v="3"/>
  </r>
  <r>
    <n v="1286"/>
    <d v="2025-02-12T00:00:00"/>
    <x v="11"/>
    <x v="3"/>
    <x v="3"/>
    <x v="7"/>
    <x v="8"/>
    <n v="3500"/>
    <x v="3"/>
    <n v="21000"/>
    <x v="241"/>
    <n v="1680"/>
    <x v="7"/>
  </r>
  <r>
    <n v="1287"/>
    <d v="2025-08-12T00:00:00"/>
    <x v="0"/>
    <x v="0"/>
    <x v="0"/>
    <x v="2"/>
    <x v="6"/>
    <n v="18000"/>
    <x v="2"/>
    <n v="144000"/>
    <x v="169"/>
    <n v="14400"/>
    <x v="6"/>
  </r>
  <r>
    <n v="1288"/>
    <d v="2025-08-01T00:00:00"/>
    <x v="2"/>
    <x v="0"/>
    <x v="0"/>
    <x v="0"/>
    <x v="11"/>
    <n v="55000"/>
    <x v="4"/>
    <n v="715000"/>
    <x v="242"/>
    <n v="85800"/>
    <x v="6"/>
  </r>
  <r>
    <n v="1289"/>
    <d v="2025-07-17T00:00:00"/>
    <x v="0"/>
    <x v="0"/>
    <x v="1"/>
    <x v="4"/>
    <x v="5"/>
    <n v="18000"/>
    <x v="1"/>
    <n v="216000"/>
    <x v="243"/>
    <n v="10800"/>
    <x v="5"/>
  </r>
  <r>
    <n v="1290"/>
    <d v="2025-02-20T00:00:00"/>
    <x v="13"/>
    <x v="0"/>
    <x v="2"/>
    <x v="2"/>
    <x v="16"/>
    <n v="42000"/>
    <x v="1"/>
    <n v="462000"/>
    <x v="244"/>
    <n v="23100"/>
    <x v="7"/>
  </r>
  <r>
    <n v="1291"/>
    <d v="2025-05-27T00:00:00"/>
    <x v="12"/>
    <x v="3"/>
    <x v="2"/>
    <x v="3"/>
    <x v="14"/>
    <n v="1800"/>
    <x v="0"/>
    <n v="28800"/>
    <x v="245"/>
    <n v="4320"/>
    <x v="4"/>
  </r>
  <r>
    <n v="1292"/>
    <d v="2025-08-18T00:00:00"/>
    <x v="6"/>
    <x v="1"/>
    <x v="1"/>
    <x v="6"/>
    <x v="0"/>
    <n v="9000"/>
    <x v="5"/>
    <n v="9000"/>
    <x v="246"/>
    <n v="0"/>
    <x v="6"/>
  </r>
  <r>
    <n v="1293"/>
    <d v="2025-04-21T00:00:00"/>
    <x v="13"/>
    <x v="0"/>
    <x v="3"/>
    <x v="5"/>
    <x v="19"/>
    <n v="42000"/>
    <x v="4"/>
    <n v="210000"/>
    <x v="247"/>
    <n v="25200"/>
    <x v="1"/>
  </r>
  <r>
    <n v="1294"/>
    <d v="2025-05-28T00:00:00"/>
    <x v="3"/>
    <x v="0"/>
    <x v="1"/>
    <x v="0"/>
    <x v="18"/>
    <n v="800"/>
    <x v="5"/>
    <n v="8000"/>
    <x v="248"/>
    <n v="0"/>
    <x v="4"/>
  </r>
  <r>
    <n v="1295"/>
    <d v="2025-08-03T00:00:00"/>
    <x v="7"/>
    <x v="2"/>
    <x v="1"/>
    <x v="5"/>
    <x v="12"/>
    <n v="250"/>
    <x v="2"/>
    <n v="5000"/>
    <x v="41"/>
    <n v="500"/>
    <x v="6"/>
  </r>
  <r>
    <n v="1296"/>
    <d v="2025-09-13T00:00:00"/>
    <x v="6"/>
    <x v="1"/>
    <x v="2"/>
    <x v="7"/>
    <x v="3"/>
    <n v="9000"/>
    <x v="5"/>
    <n v="162000"/>
    <x v="96"/>
    <n v="0"/>
    <x v="9"/>
  </r>
  <r>
    <n v="1297"/>
    <d v="2025-05-30T00:00:00"/>
    <x v="8"/>
    <x v="1"/>
    <x v="0"/>
    <x v="0"/>
    <x v="0"/>
    <n v="8500"/>
    <x v="4"/>
    <n v="8500"/>
    <x v="249"/>
    <n v="1020"/>
    <x v="4"/>
  </r>
  <r>
    <n v="1298"/>
    <d v="2025-10-20T00:00:00"/>
    <x v="8"/>
    <x v="1"/>
    <x v="1"/>
    <x v="4"/>
    <x v="8"/>
    <n v="8500"/>
    <x v="0"/>
    <n v="51000"/>
    <x v="250"/>
    <n v="7650"/>
    <x v="3"/>
  </r>
  <r>
    <n v="1299"/>
    <d v="2025-02-04T00:00:00"/>
    <x v="5"/>
    <x v="1"/>
    <x v="1"/>
    <x v="1"/>
    <x v="3"/>
    <n v="11000"/>
    <x v="4"/>
    <n v="198000"/>
    <x v="74"/>
    <n v="23760"/>
    <x v="7"/>
  </r>
  <r>
    <n v="1300"/>
    <d v="2025-08-29T00:00:00"/>
    <x v="2"/>
    <x v="0"/>
    <x v="0"/>
    <x v="8"/>
    <x v="11"/>
    <n v="55000"/>
    <x v="3"/>
    <n v="715000"/>
    <x v="251"/>
    <n v="57200"/>
    <x v="6"/>
  </r>
  <r>
    <n v="1301"/>
    <d v="2025-07-02T00:00:00"/>
    <x v="11"/>
    <x v="3"/>
    <x v="2"/>
    <x v="5"/>
    <x v="2"/>
    <n v="3500"/>
    <x v="3"/>
    <n v="10500"/>
    <x v="252"/>
    <n v="840"/>
    <x v="5"/>
  </r>
  <r>
    <n v="1302"/>
    <d v="2025-10-25T00:00:00"/>
    <x v="14"/>
    <x v="2"/>
    <x v="1"/>
    <x v="4"/>
    <x v="16"/>
    <n v="180"/>
    <x v="1"/>
    <n v="1980"/>
    <x v="253"/>
    <n v="99"/>
    <x v="3"/>
  </r>
  <r>
    <n v="1303"/>
    <d v="2025-10-07T00:00:00"/>
    <x v="9"/>
    <x v="0"/>
    <x v="3"/>
    <x v="3"/>
    <x v="8"/>
    <n v="2500"/>
    <x v="0"/>
    <n v="15000"/>
    <x v="100"/>
    <n v="2250"/>
    <x v="3"/>
  </r>
  <r>
    <n v="1304"/>
    <d v="2025-11-20T00:00:00"/>
    <x v="1"/>
    <x v="0"/>
    <x v="3"/>
    <x v="2"/>
    <x v="19"/>
    <n v="1200"/>
    <x v="5"/>
    <n v="6000"/>
    <x v="254"/>
    <n v="0"/>
    <x v="0"/>
  </r>
  <r>
    <n v="1305"/>
    <d v="2025-05-31T00:00:00"/>
    <x v="3"/>
    <x v="0"/>
    <x v="1"/>
    <x v="4"/>
    <x v="9"/>
    <n v="800"/>
    <x v="1"/>
    <n v="1600"/>
    <x v="255"/>
    <n v="80"/>
    <x v="4"/>
  </r>
  <r>
    <n v="1306"/>
    <d v="2025-06-08T00:00:00"/>
    <x v="5"/>
    <x v="1"/>
    <x v="3"/>
    <x v="6"/>
    <x v="11"/>
    <n v="11000"/>
    <x v="4"/>
    <n v="143000"/>
    <x v="256"/>
    <n v="17160"/>
    <x v="11"/>
  </r>
  <r>
    <n v="1307"/>
    <d v="2025-01-19T00:00:00"/>
    <x v="11"/>
    <x v="3"/>
    <x v="0"/>
    <x v="2"/>
    <x v="4"/>
    <n v="3500"/>
    <x v="3"/>
    <n v="24500"/>
    <x v="257"/>
    <n v="1960"/>
    <x v="2"/>
  </r>
  <r>
    <n v="1308"/>
    <d v="2025-12-02T00:00:00"/>
    <x v="9"/>
    <x v="0"/>
    <x v="0"/>
    <x v="1"/>
    <x v="7"/>
    <n v="2500"/>
    <x v="5"/>
    <n v="22500"/>
    <x v="258"/>
    <n v="0"/>
    <x v="8"/>
  </r>
  <r>
    <n v="1309"/>
    <d v="2025-07-24T00:00:00"/>
    <x v="14"/>
    <x v="2"/>
    <x v="0"/>
    <x v="7"/>
    <x v="17"/>
    <n v="180"/>
    <x v="2"/>
    <n v="2700"/>
    <x v="259"/>
    <n v="270"/>
    <x v="5"/>
  </r>
  <r>
    <n v="1310"/>
    <d v="2025-09-12T00:00:00"/>
    <x v="14"/>
    <x v="2"/>
    <x v="0"/>
    <x v="5"/>
    <x v="14"/>
    <n v="180"/>
    <x v="3"/>
    <n v="2880"/>
    <x v="260"/>
    <n v="230.40000000000009"/>
    <x v="9"/>
  </r>
  <r>
    <n v="1311"/>
    <d v="2025-08-06T00:00:00"/>
    <x v="0"/>
    <x v="0"/>
    <x v="2"/>
    <x v="6"/>
    <x v="15"/>
    <n v="18000"/>
    <x v="4"/>
    <n v="252000"/>
    <x v="261"/>
    <n v="30240"/>
    <x v="6"/>
  </r>
  <r>
    <n v="1312"/>
    <d v="2025-06-14T00:00:00"/>
    <x v="0"/>
    <x v="0"/>
    <x v="0"/>
    <x v="6"/>
    <x v="2"/>
    <n v="18000"/>
    <x v="3"/>
    <n v="54000"/>
    <x v="262"/>
    <n v="4320"/>
    <x v="11"/>
  </r>
  <r>
    <n v="1313"/>
    <d v="2025-08-17T00:00:00"/>
    <x v="6"/>
    <x v="1"/>
    <x v="3"/>
    <x v="4"/>
    <x v="15"/>
    <n v="9000"/>
    <x v="1"/>
    <n v="126000"/>
    <x v="263"/>
    <n v="6300"/>
    <x v="6"/>
  </r>
  <r>
    <n v="1314"/>
    <d v="2025-08-17T00:00:00"/>
    <x v="2"/>
    <x v="0"/>
    <x v="3"/>
    <x v="6"/>
    <x v="5"/>
    <n v="55000"/>
    <x v="4"/>
    <n v="660000"/>
    <x v="264"/>
    <n v="79200"/>
    <x v="6"/>
  </r>
  <r>
    <n v="1315"/>
    <d v="2025-11-24T00:00:00"/>
    <x v="11"/>
    <x v="3"/>
    <x v="3"/>
    <x v="4"/>
    <x v="9"/>
    <n v="3500"/>
    <x v="5"/>
    <n v="7000"/>
    <x v="19"/>
    <n v="0"/>
    <x v="0"/>
  </r>
  <r>
    <n v="1316"/>
    <d v="2025-09-20T00:00:00"/>
    <x v="11"/>
    <x v="3"/>
    <x v="2"/>
    <x v="3"/>
    <x v="8"/>
    <n v="3500"/>
    <x v="5"/>
    <n v="21000"/>
    <x v="218"/>
    <n v="0"/>
    <x v="9"/>
  </r>
  <r>
    <n v="1317"/>
    <d v="2025-01-18T00:00:00"/>
    <x v="1"/>
    <x v="0"/>
    <x v="0"/>
    <x v="4"/>
    <x v="2"/>
    <n v="1200"/>
    <x v="1"/>
    <n v="3600"/>
    <x v="229"/>
    <n v="180"/>
    <x v="2"/>
  </r>
  <r>
    <n v="1318"/>
    <d v="2025-07-16T00:00:00"/>
    <x v="6"/>
    <x v="1"/>
    <x v="2"/>
    <x v="3"/>
    <x v="9"/>
    <n v="9000"/>
    <x v="4"/>
    <n v="18000"/>
    <x v="150"/>
    <n v="2160"/>
    <x v="5"/>
  </r>
  <r>
    <n v="1319"/>
    <d v="2025-07-09T00:00:00"/>
    <x v="9"/>
    <x v="0"/>
    <x v="2"/>
    <x v="4"/>
    <x v="17"/>
    <n v="2500"/>
    <x v="5"/>
    <n v="37500"/>
    <x v="265"/>
    <n v="0"/>
    <x v="5"/>
  </r>
  <r>
    <n v="1320"/>
    <d v="2025-07-23T00:00:00"/>
    <x v="9"/>
    <x v="0"/>
    <x v="1"/>
    <x v="2"/>
    <x v="7"/>
    <n v="2500"/>
    <x v="1"/>
    <n v="22500"/>
    <x v="266"/>
    <n v="1125"/>
    <x v="5"/>
  </r>
  <r>
    <n v="1321"/>
    <d v="2025-04-06T00:00:00"/>
    <x v="10"/>
    <x v="1"/>
    <x v="1"/>
    <x v="6"/>
    <x v="13"/>
    <n v="15000"/>
    <x v="2"/>
    <n v="255000"/>
    <x v="137"/>
    <n v="25500"/>
    <x v="1"/>
  </r>
  <r>
    <n v="1322"/>
    <d v="2025-05-14T00:00:00"/>
    <x v="14"/>
    <x v="2"/>
    <x v="0"/>
    <x v="3"/>
    <x v="17"/>
    <n v="180"/>
    <x v="1"/>
    <n v="2700"/>
    <x v="267"/>
    <n v="135"/>
    <x v="4"/>
  </r>
  <r>
    <n v="1323"/>
    <d v="2025-04-13T00:00:00"/>
    <x v="0"/>
    <x v="0"/>
    <x v="3"/>
    <x v="7"/>
    <x v="19"/>
    <n v="18000"/>
    <x v="5"/>
    <n v="90000"/>
    <x v="268"/>
    <n v="0"/>
    <x v="1"/>
  </r>
  <r>
    <n v="1324"/>
    <d v="2025-08-16T00:00:00"/>
    <x v="0"/>
    <x v="0"/>
    <x v="0"/>
    <x v="5"/>
    <x v="16"/>
    <n v="18000"/>
    <x v="0"/>
    <n v="198000"/>
    <x v="240"/>
    <n v="29700"/>
    <x v="6"/>
  </r>
  <r>
    <n v="1325"/>
    <d v="2025-10-09T00:00:00"/>
    <x v="5"/>
    <x v="1"/>
    <x v="2"/>
    <x v="7"/>
    <x v="18"/>
    <n v="11000"/>
    <x v="3"/>
    <n v="110000"/>
    <x v="269"/>
    <n v="8800"/>
    <x v="3"/>
  </r>
  <r>
    <n v="1326"/>
    <d v="2025-07-05T00:00:00"/>
    <x v="5"/>
    <x v="1"/>
    <x v="2"/>
    <x v="7"/>
    <x v="6"/>
    <n v="11000"/>
    <x v="5"/>
    <n v="88000"/>
    <x v="270"/>
    <n v="0"/>
    <x v="5"/>
  </r>
  <r>
    <n v="1327"/>
    <d v="2025-05-02T00:00:00"/>
    <x v="11"/>
    <x v="3"/>
    <x v="0"/>
    <x v="4"/>
    <x v="14"/>
    <n v="3500"/>
    <x v="5"/>
    <n v="56000"/>
    <x v="271"/>
    <n v="0"/>
    <x v="4"/>
  </r>
  <r>
    <n v="1328"/>
    <d v="2025-08-28T00:00:00"/>
    <x v="11"/>
    <x v="3"/>
    <x v="1"/>
    <x v="5"/>
    <x v="3"/>
    <n v="3500"/>
    <x v="1"/>
    <n v="63000"/>
    <x v="28"/>
    <n v="3150"/>
    <x v="6"/>
  </r>
  <r>
    <n v="1329"/>
    <d v="2025-06-08T00:00:00"/>
    <x v="8"/>
    <x v="1"/>
    <x v="3"/>
    <x v="1"/>
    <x v="14"/>
    <n v="8500"/>
    <x v="4"/>
    <n v="136000"/>
    <x v="272"/>
    <n v="16320"/>
    <x v="11"/>
  </r>
  <r>
    <n v="1330"/>
    <d v="2025-10-22T00:00:00"/>
    <x v="0"/>
    <x v="0"/>
    <x v="1"/>
    <x v="3"/>
    <x v="19"/>
    <n v="18000"/>
    <x v="3"/>
    <n v="90000"/>
    <x v="203"/>
    <n v="7200"/>
    <x v="3"/>
  </r>
  <r>
    <n v="1331"/>
    <d v="2025-08-27T00:00:00"/>
    <x v="7"/>
    <x v="2"/>
    <x v="2"/>
    <x v="7"/>
    <x v="13"/>
    <n v="250"/>
    <x v="3"/>
    <n v="4250"/>
    <x v="273"/>
    <n v="340"/>
    <x v="6"/>
  </r>
  <r>
    <n v="1332"/>
    <d v="2025-03-08T00:00:00"/>
    <x v="8"/>
    <x v="1"/>
    <x v="1"/>
    <x v="7"/>
    <x v="13"/>
    <n v="8500"/>
    <x v="5"/>
    <n v="144500"/>
    <x v="274"/>
    <n v="0"/>
    <x v="10"/>
  </r>
  <r>
    <n v="1333"/>
    <d v="2025-06-05T00:00:00"/>
    <x v="1"/>
    <x v="0"/>
    <x v="2"/>
    <x v="4"/>
    <x v="8"/>
    <n v="1200"/>
    <x v="3"/>
    <n v="7200"/>
    <x v="275"/>
    <n v="576"/>
    <x v="11"/>
  </r>
  <r>
    <n v="1334"/>
    <d v="2025-09-23T00:00:00"/>
    <x v="12"/>
    <x v="3"/>
    <x v="0"/>
    <x v="0"/>
    <x v="18"/>
    <n v="1800"/>
    <x v="5"/>
    <n v="18000"/>
    <x v="237"/>
    <n v="0"/>
    <x v="9"/>
  </r>
  <r>
    <n v="1335"/>
    <d v="2025-11-22T00:00:00"/>
    <x v="5"/>
    <x v="1"/>
    <x v="0"/>
    <x v="5"/>
    <x v="7"/>
    <n v="11000"/>
    <x v="1"/>
    <n v="99000"/>
    <x v="191"/>
    <n v="4950"/>
    <x v="0"/>
  </r>
  <r>
    <n v="1336"/>
    <d v="2025-09-15T00:00:00"/>
    <x v="7"/>
    <x v="2"/>
    <x v="2"/>
    <x v="7"/>
    <x v="8"/>
    <n v="250"/>
    <x v="4"/>
    <n v="1500"/>
    <x v="12"/>
    <n v="180"/>
    <x v="9"/>
  </r>
  <r>
    <n v="1337"/>
    <d v="2025-12-04T00:00:00"/>
    <x v="6"/>
    <x v="1"/>
    <x v="1"/>
    <x v="2"/>
    <x v="12"/>
    <n v="9000"/>
    <x v="3"/>
    <n v="180000"/>
    <x v="276"/>
    <n v="14400"/>
    <x v="8"/>
  </r>
  <r>
    <n v="1338"/>
    <d v="2025-02-11T00:00:00"/>
    <x v="2"/>
    <x v="0"/>
    <x v="2"/>
    <x v="1"/>
    <x v="10"/>
    <n v="55000"/>
    <x v="3"/>
    <n v="1045000"/>
    <x v="277"/>
    <n v="83600"/>
    <x v="7"/>
  </r>
  <r>
    <n v="1339"/>
    <d v="2025-11-13T00:00:00"/>
    <x v="7"/>
    <x v="2"/>
    <x v="0"/>
    <x v="6"/>
    <x v="0"/>
    <n v="250"/>
    <x v="2"/>
    <n v="250"/>
    <x v="167"/>
    <n v="25"/>
    <x v="0"/>
  </r>
  <r>
    <n v="1340"/>
    <d v="2025-09-05T00:00:00"/>
    <x v="3"/>
    <x v="0"/>
    <x v="3"/>
    <x v="5"/>
    <x v="11"/>
    <n v="800"/>
    <x v="3"/>
    <n v="10400"/>
    <x v="278"/>
    <n v="832"/>
    <x v="9"/>
  </r>
  <r>
    <n v="1341"/>
    <d v="2025-12-19T00:00:00"/>
    <x v="2"/>
    <x v="0"/>
    <x v="3"/>
    <x v="3"/>
    <x v="8"/>
    <n v="55000"/>
    <x v="2"/>
    <n v="330000"/>
    <x v="140"/>
    <n v="33000"/>
    <x v="8"/>
  </r>
  <r>
    <n v="1342"/>
    <d v="2025-08-26T00:00:00"/>
    <x v="3"/>
    <x v="0"/>
    <x v="2"/>
    <x v="4"/>
    <x v="16"/>
    <n v="800"/>
    <x v="4"/>
    <n v="8800"/>
    <x v="279"/>
    <n v="1056"/>
    <x v="6"/>
  </r>
  <r>
    <n v="1343"/>
    <d v="2025-06-13T00:00:00"/>
    <x v="14"/>
    <x v="2"/>
    <x v="2"/>
    <x v="4"/>
    <x v="5"/>
    <n v="180"/>
    <x v="2"/>
    <n v="2160"/>
    <x v="280"/>
    <n v="216"/>
    <x v="11"/>
  </r>
  <r>
    <n v="1344"/>
    <d v="2025-09-21T00:00:00"/>
    <x v="5"/>
    <x v="1"/>
    <x v="2"/>
    <x v="3"/>
    <x v="1"/>
    <n v="11000"/>
    <x v="3"/>
    <n v="44000"/>
    <x v="281"/>
    <n v="3520"/>
    <x v="9"/>
  </r>
  <r>
    <n v="1345"/>
    <d v="2025-03-04T00:00:00"/>
    <x v="4"/>
    <x v="0"/>
    <x v="2"/>
    <x v="5"/>
    <x v="17"/>
    <n v="14000"/>
    <x v="1"/>
    <n v="210000"/>
    <x v="113"/>
    <n v="10500"/>
    <x v="10"/>
  </r>
  <r>
    <n v="1346"/>
    <d v="2025-01-26T00:00:00"/>
    <x v="4"/>
    <x v="0"/>
    <x v="3"/>
    <x v="0"/>
    <x v="11"/>
    <n v="14000"/>
    <x v="4"/>
    <n v="182000"/>
    <x v="282"/>
    <n v="21840"/>
    <x v="2"/>
  </r>
  <r>
    <n v="1347"/>
    <d v="2025-03-23T00:00:00"/>
    <x v="13"/>
    <x v="0"/>
    <x v="0"/>
    <x v="0"/>
    <x v="16"/>
    <n v="42000"/>
    <x v="4"/>
    <n v="462000"/>
    <x v="215"/>
    <n v="55440"/>
    <x v="10"/>
  </r>
  <r>
    <n v="1348"/>
    <d v="2025-03-23T00:00:00"/>
    <x v="10"/>
    <x v="1"/>
    <x v="3"/>
    <x v="6"/>
    <x v="13"/>
    <n v="15000"/>
    <x v="2"/>
    <n v="255000"/>
    <x v="137"/>
    <n v="25500"/>
    <x v="10"/>
  </r>
  <r>
    <n v="1349"/>
    <d v="2025-09-12T00:00:00"/>
    <x v="2"/>
    <x v="0"/>
    <x v="3"/>
    <x v="0"/>
    <x v="2"/>
    <n v="55000"/>
    <x v="2"/>
    <n v="165000"/>
    <x v="283"/>
    <n v="16500"/>
    <x v="9"/>
  </r>
  <r>
    <n v="1350"/>
    <d v="2025-04-21T00:00:00"/>
    <x v="6"/>
    <x v="1"/>
    <x v="1"/>
    <x v="6"/>
    <x v="5"/>
    <n v="9000"/>
    <x v="5"/>
    <n v="108000"/>
    <x v="47"/>
    <n v="0"/>
    <x v="1"/>
  </r>
  <r>
    <n v="1351"/>
    <d v="2025-09-11T00:00:00"/>
    <x v="6"/>
    <x v="1"/>
    <x v="1"/>
    <x v="5"/>
    <x v="14"/>
    <n v="9000"/>
    <x v="3"/>
    <n v="144000"/>
    <x v="284"/>
    <n v="11520"/>
    <x v="9"/>
  </r>
  <r>
    <n v="1352"/>
    <d v="2025-08-09T00:00:00"/>
    <x v="1"/>
    <x v="0"/>
    <x v="0"/>
    <x v="1"/>
    <x v="7"/>
    <n v="1200"/>
    <x v="0"/>
    <n v="10800"/>
    <x v="206"/>
    <n v="1620"/>
    <x v="6"/>
  </r>
  <r>
    <n v="1353"/>
    <d v="2025-07-07T00:00:00"/>
    <x v="2"/>
    <x v="0"/>
    <x v="2"/>
    <x v="4"/>
    <x v="11"/>
    <n v="55000"/>
    <x v="5"/>
    <n v="715000"/>
    <x v="285"/>
    <n v="0"/>
    <x v="5"/>
  </r>
  <r>
    <n v="1354"/>
    <d v="2025-10-11T00:00:00"/>
    <x v="4"/>
    <x v="0"/>
    <x v="3"/>
    <x v="6"/>
    <x v="2"/>
    <n v="14000"/>
    <x v="2"/>
    <n v="42000"/>
    <x v="286"/>
    <n v="4200"/>
    <x v="3"/>
  </r>
  <r>
    <n v="1355"/>
    <d v="2025-11-16T00:00:00"/>
    <x v="7"/>
    <x v="2"/>
    <x v="2"/>
    <x v="5"/>
    <x v="12"/>
    <n v="250"/>
    <x v="5"/>
    <n v="5000"/>
    <x v="287"/>
    <n v="0"/>
    <x v="0"/>
  </r>
  <r>
    <n v="1356"/>
    <d v="2025-07-21T00:00:00"/>
    <x v="9"/>
    <x v="0"/>
    <x v="0"/>
    <x v="7"/>
    <x v="16"/>
    <n v="2500"/>
    <x v="4"/>
    <n v="27500"/>
    <x v="288"/>
    <n v="3300"/>
    <x v="5"/>
  </r>
  <r>
    <n v="1357"/>
    <d v="2025-04-12T00:00:00"/>
    <x v="6"/>
    <x v="1"/>
    <x v="1"/>
    <x v="2"/>
    <x v="13"/>
    <n v="9000"/>
    <x v="2"/>
    <n v="153000"/>
    <x v="224"/>
    <n v="15300"/>
    <x v="1"/>
  </r>
  <r>
    <n v="1358"/>
    <d v="2025-01-20T00:00:00"/>
    <x v="1"/>
    <x v="0"/>
    <x v="3"/>
    <x v="7"/>
    <x v="16"/>
    <n v="1200"/>
    <x v="2"/>
    <n v="13200"/>
    <x v="289"/>
    <n v="1320"/>
    <x v="2"/>
  </r>
  <r>
    <n v="1359"/>
    <d v="2025-11-07T00:00:00"/>
    <x v="12"/>
    <x v="3"/>
    <x v="0"/>
    <x v="4"/>
    <x v="13"/>
    <n v="1800"/>
    <x v="1"/>
    <n v="30600"/>
    <x v="290"/>
    <n v="1530"/>
    <x v="0"/>
  </r>
  <r>
    <n v="1360"/>
    <d v="2025-03-25T00:00:00"/>
    <x v="8"/>
    <x v="1"/>
    <x v="0"/>
    <x v="4"/>
    <x v="12"/>
    <n v="8500"/>
    <x v="0"/>
    <n v="170000"/>
    <x v="274"/>
    <n v="25500"/>
    <x v="10"/>
  </r>
  <r>
    <n v="1361"/>
    <d v="2025-09-17T00:00:00"/>
    <x v="13"/>
    <x v="0"/>
    <x v="3"/>
    <x v="6"/>
    <x v="13"/>
    <n v="42000"/>
    <x v="4"/>
    <n v="714000"/>
    <x v="291"/>
    <n v="85680"/>
    <x v="9"/>
  </r>
  <r>
    <n v="1362"/>
    <d v="2025-09-01T00:00:00"/>
    <x v="13"/>
    <x v="0"/>
    <x v="0"/>
    <x v="5"/>
    <x v="0"/>
    <n v="42000"/>
    <x v="3"/>
    <n v="42000"/>
    <x v="292"/>
    <n v="3360"/>
    <x v="9"/>
  </r>
  <r>
    <n v="1363"/>
    <d v="2025-08-02T00:00:00"/>
    <x v="6"/>
    <x v="1"/>
    <x v="1"/>
    <x v="3"/>
    <x v="18"/>
    <n v="9000"/>
    <x v="0"/>
    <n v="90000"/>
    <x v="293"/>
    <n v="13500"/>
    <x v="6"/>
  </r>
  <r>
    <n v="1364"/>
    <d v="2025-05-16T00:00:00"/>
    <x v="7"/>
    <x v="2"/>
    <x v="2"/>
    <x v="2"/>
    <x v="10"/>
    <n v="250"/>
    <x v="4"/>
    <n v="4750"/>
    <x v="49"/>
    <n v="570"/>
    <x v="4"/>
  </r>
  <r>
    <n v="1365"/>
    <d v="2025-10-26T00:00:00"/>
    <x v="10"/>
    <x v="1"/>
    <x v="3"/>
    <x v="7"/>
    <x v="8"/>
    <n v="15000"/>
    <x v="4"/>
    <n v="90000"/>
    <x v="294"/>
    <n v="10800"/>
    <x v="3"/>
  </r>
  <r>
    <n v="1366"/>
    <d v="2025-12-15T00:00:00"/>
    <x v="3"/>
    <x v="0"/>
    <x v="1"/>
    <x v="0"/>
    <x v="9"/>
    <n v="800"/>
    <x v="4"/>
    <n v="1600"/>
    <x v="295"/>
    <n v="192"/>
    <x v="8"/>
  </r>
  <r>
    <n v="1367"/>
    <d v="2025-01-10T00:00:00"/>
    <x v="10"/>
    <x v="1"/>
    <x v="2"/>
    <x v="1"/>
    <x v="16"/>
    <n v="15000"/>
    <x v="2"/>
    <n v="165000"/>
    <x v="283"/>
    <n v="16500"/>
    <x v="2"/>
  </r>
  <r>
    <n v="1368"/>
    <d v="2025-12-20T00:00:00"/>
    <x v="3"/>
    <x v="0"/>
    <x v="3"/>
    <x v="2"/>
    <x v="15"/>
    <n v="800"/>
    <x v="4"/>
    <n v="11200"/>
    <x v="296"/>
    <n v="1344"/>
    <x v="8"/>
  </r>
  <r>
    <n v="1369"/>
    <d v="2025-12-28T00:00:00"/>
    <x v="1"/>
    <x v="0"/>
    <x v="0"/>
    <x v="3"/>
    <x v="13"/>
    <n v="1200"/>
    <x v="1"/>
    <n v="20400"/>
    <x v="297"/>
    <n v="1020"/>
    <x v="8"/>
  </r>
  <r>
    <n v="1370"/>
    <d v="2025-09-27T00:00:00"/>
    <x v="8"/>
    <x v="1"/>
    <x v="3"/>
    <x v="4"/>
    <x v="16"/>
    <n v="8500"/>
    <x v="1"/>
    <n v="93500"/>
    <x v="298"/>
    <n v="4675"/>
    <x v="9"/>
  </r>
  <r>
    <n v="1371"/>
    <d v="2025-10-07T00:00:00"/>
    <x v="9"/>
    <x v="0"/>
    <x v="3"/>
    <x v="0"/>
    <x v="7"/>
    <n v="2500"/>
    <x v="4"/>
    <n v="22500"/>
    <x v="178"/>
    <n v="2700"/>
    <x v="3"/>
  </r>
  <r>
    <n v="1372"/>
    <d v="2025-05-07T00:00:00"/>
    <x v="4"/>
    <x v="0"/>
    <x v="2"/>
    <x v="6"/>
    <x v="3"/>
    <n v="14000"/>
    <x v="3"/>
    <n v="252000"/>
    <x v="59"/>
    <n v="20160"/>
    <x v="4"/>
  </r>
  <r>
    <n v="1373"/>
    <d v="2025-05-28T00:00:00"/>
    <x v="14"/>
    <x v="2"/>
    <x v="3"/>
    <x v="4"/>
    <x v="4"/>
    <n v="180"/>
    <x v="0"/>
    <n v="1260"/>
    <x v="299"/>
    <n v="189"/>
    <x v="4"/>
  </r>
  <r>
    <n v="1374"/>
    <d v="2025-09-03T00:00:00"/>
    <x v="9"/>
    <x v="0"/>
    <x v="0"/>
    <x v="6"/>
    <x v="3"/>
    <n v="2500"/>
    <x v="0"/>
    <n v="45000"/>
    <x v="300"/>
    <n v="6750"/>
    <x v="9"/>
  </r>
  <r>
    <n v="1375"/>
    <d v="2025-03-04T00:00:00"/>
    <x v="6"/>
    <x v="1"/>
    <x v="3"/>
    <x v="4"/>
    <x v="20"/>
    <n v="9000"/>
    <x v="2"/>
    <m/>
    <x v="301"/>
    <n v="0"/>
    <x v="10"/>
  </r>
  <r>
    <n v="1376"/>
    <d v="2025-03-16T00:00:00"/>
    <x v="4"/>
    <x v="0"/>
    <x v="1"/>
    <x v="4"/>
    <x v="9"/>
    <n v="14000"/>
    <x v="3"/>
    <n v="28000"/>
    <x v="302"/>
    <n v="2240"/>
    <x v="10"/>
  </r>
  <r>
    <n v="1377"/>
    <d v="2025-08-15T00:00:00"/>
    <x v="7"/>
    <x v="2"/>
    <x v="3"/>
    <x v="0"/>
    <x v="7"/>
    <n v="250"/>
    <x v="0"/>
    <n v="2250"/>
    <x v="303"/>
    <n v="337.5"/>
    <x v="6"/>
  </r>
  <r>
    <n v="1378"/>
    <d v="2025-04-14T00:00:00"/>
    <x v="13"/>
    <x v="0"/>
    <x v="0"/>
    <x v="7"/>
    <x v="3"/>
    <n v="42000"/>
    <x v="3"/>
    <n v="756000"/>
    <x v="56"/>
    <n v="60480"/>
    <x v="1"/>
  </r>
  <r>
    <n v="1379"/>
    <d v="2025-02-25T00:00:00"/>
    <x v="6"/>
    <x v="1"/>
    <x v="2"/>
    <x v="2"/>
    <x v="10"/>
    <n v="9000"/>
    <x v="1"/>
    <n v="171000"/>
    <x v="304"/>
    <n v="8550"/>
    <x v="7"/>
  </r>
  <r>
    <n v="1380"/>
    <d v="2025-12-09T00:00:00"/>
    <x v="12"/>
    <x v="3"/>
    <x v="2"/>
    <x v="2"/>
    <x v="13"/>
    <n v="1800"/>
    <x v="1"/>
    <n v="30600"/>
    <x v="290"/>
    <n v="1530"/>
    <x v="8"/>
  </r>
  <r>
    <n v="1381"/>
    <d v="2025-02-21T00:00:00"/>
    <x v="8"/>
    <x v="1"/>
    <x v="3"/>
    <x v="5"/>
    <x v="16"/>
    <n v="8500"/>
    <x v="0"/>
    <n v="93500"/>
    <x v="305"/>
    <n v="14025"/>
    <x v="7"/>
  </r>
  <r>
    <n v="1382"/>
    <d v="2025-12-15T00:00:00"/>
    <x v="11"/>
    <x v="3"/>
    <x v="2"/>
    <x v="1"/>
    <x v="19"/>
    <n v="3500"/>
    <x v="5"/>
    <n v="17500"/>
    <x v="306"/>
    <n v="0"/>
    <x v="8"/>
  </r>
  <r>
    <n v="1383"/>
    <d v="2025-12-01T00:00:00"/>
    <x v="12"/>
    <x v="3"/>
    <x v="2"/>
    <x v="6"/>
    <x v="14"/>
    <n v="1800"/>
    <x v="2"/>
    <n v="28800"/>
    <x v="307"/>
    <n v="2880"/>
    <x v="8"/>
  </r>
  <r>
    <n v="1384"/>
    <d v="2025-06-14T00:00:00"/>
    <x v="4"/>
    <x v="0"/>
    <x v="2"/>
    <x v="2"/>
    <x v="9"/>
    <n v="14000"/>
    <x v="5"/>
    <n v="28000"/>
    <x v="308"/>
    <n v="0"/>
    <x v="11"/>
  </r>
  <r>
    <n v="1385"/>
    <d v="2025-03-31T00:00:00"/>
    <x v="8"/>
    <x v="1"/>
    <x v="3"/>
    <x v="3"/>
    <x v="8"/>
    <n v="8500"/>
    <x v="5"/>
    <n v="51000"/>
    <x v="309"/>
    <n v="0"/>
    <x v="10"/>
  </r>
  <r>
    <n v="1386"/>
    <d v="2025-04-06T00:00:00"/>
    <x v="12"/>
    <x v="3"/>
    <x v="1"/>
    <x v="6"/>
    <x v="18"/>
    <n v="1800"/>
    <x v="5"/>
    <n v="18000"/>
    <x v="237"/>
    <n v="0"/>
    <x v="1"/>
  </r>
  <r>
    <n v="1387"/>
    <d v="2025-10-18T00:00:00"/>
    <x v="6"/>
    <x v="1"/>
    <x v="0"/>
    <x v="3"/>
    <x v="1"/>
    <n v="9000"/>
    <x v="3"/>
    <n v="36000"/>
    <x v="310"/>
    <n v="2880"/>
    <x v="3"/>
  </r>
  <r>
    <n v="1388"/>
    <d v="2025-11-25T00:00:00"/>
    <x v="5"/>
    <x v="1"/>
    <x v="2"/>
    <x v="3"/>
    <x v="13"/>
    <n v="11000"/>
    <x v="2"/>
    <n v="187000"/>
    <x v="240"/>
    <n v="18700"/>
    <x v="0"/>
  </r>
  <r>
    <n v="1389"/>
    <d v="2025-05-20T00:00:00"/>
    <x v="3"/>
    <x v="0"/>
    <x v="2"/>
    <x v="3"/>
    <x v="1"/>
    <n v="800"/>
    <x v="3"/>
    <n v="3200"/>
    <x v="311"/>
    <n v="256"/>
    <x v="4"/>
  </r>
  <r>
    <n v="1390"/>
    <d v="2025-11-28T00:00:00"/>
    <x v="4"/>
    <x v="0"/>
    <x v="0"/>
    <x v="6"/>
    <x v="8"/>
    <n v="14000"/>
    <x v="5"/>
    <n v="84000"/>
    <x v="312"/>
    <n v="0"/>
    <x v="0"/>
  </r>
  <r>
    <n v="1391"/>
    <d v="2025-10-18T00:00:00"/>
    <x v="7"/>
    <x v="2"/>
    <x v="3"/>
    <x v="1"/>
    <x v="4"/>
    <n v="250"/>
    <x v="1"/>
    <n v="1750"/>
    <x v="313"/>
    <n v="87.5"/>
    <x v="3"/>
  </r>
  <r>
    <n v="1392"/>
    <d v="2025-09-21T00:00:00"/>
    <x v="9"/>
    <x v="0"/>
    <x v="1"/>
    <x v="7"/>
    <x v="2"/>
    <n v="2500"/>
    <x v="2"/>
    <n v="7500"/>
    <x v="314"/>
    <n v="750"/>
    <x v="9"/>
  </r>
  <r>
    <n v="1393"/>
    <d v="2025-03-13T00:00:00"/>
    <x v="10"/>
    <x v="1"/>
    <x v="1"/>
    <x v="6"/>
    <x v="16"/>
    <n v="15000"/>
    <x v="1"/>
    <n v="165000"/>
    <x v="2"/>
    <n v="8250"/>
    <x v="10"/>
  </r>
  <r>
    <n v="1394"/>
    <d v="2025-07-16T00:00:00"/>
    <x v="3"/>
    <x v="0"/>
    <x v="0"/>
    <x v="6"/>
    <x v="17"/>
    <n v="800"/>
    <x v="3"/>
    <n v="12000"/>
    <x v="68"/>
    <n v="960"/>
    <x v="5"/>
  </r>
  <r>
    <n v="1395"/>
    <d v="2025-10-26T00:00:00"/>
    <x v="14"/>
    <x v="2"/>
    <x v="0"/>
    <x v="4"/>
    <x v="10"/>
    <n v="180"/>
    <x v="5"/>
    <n v="3420"/>
    <x v="229"/>
    <n v="0"/>
    <x v="3"/>
  </r>
  <r>
    <n v="1396"/>
    <d v="2025-12-21T00:00:00"/>
    <x v="3"/>
    <x v="0"/>
    <x v="1"/>
    <x v="3"/>
    <x v="9"/>
    <n v="800"/>
    <x v="0"/>
    <n v="1600"/>
    <x v="315"/>
    <n v="240"/>
    <x v="8"/>
  </r>
  <r>
    <n v="1397"/>
    <d v="2025-06-07T00:00:00"/>
    <x v="1"/>
    <x v="0"/>
    <x v="0"/>
    <x v="5"/>
    <x v="11"/>
    <n v="1200"/>
    <x v="0"/>
    <n v="15600"/>
    <x v="316"/>
    <n v="2340"/>
    <x v="11"/>
  </r>
  <r>
    <n v="1398"/>
    <d v="2025-11-24T00:00:00"/>
    <x v="12"/>
    <x v="3"/>
    <x v="2"/>
    <x v="0"/>
    <x v="18"/>
    <n v="1800"/>
    <x v="3"/>
    <n v="18000"/>
    <x v="173"/>
    <n v="1440"/>
    <x v="0"/>
  </r>
  <r>
    <n v="1399"/>
    <d v="2025-03-10T00:00:00"/>
    <x v="10"/>
    <x v="1"/>
    <x v="0"/>
    <x v="1"/>
    <x v="19"/>
    <n v="15000"/>
    <x v="2"/>
    <n v="75000"/>
    <x v="317"/>
    <n v="7500"/>
    <x v="10"/>
  </r>
  <r>
    <n v="1400"/>
    <d v="2025-12-26T00:00:00"/>
    <x v="5"/>
    <x v="1"/>
    <x v="2"/>
    <x v="0"/>
    <x v="14"/>
    <n v="11000"/>
    <x v="4"/>
    <n v="176000"/>
    <x v="318"/>
    <n v="21120"/>
    <x v="8"/>
  </r>
  <r>
    <n v="1401"/>
    <d v="2025-12-15T00:00:00"/>
    <x v="11"/>
    <x v="3"/>
    <x v="3"/>
    <x v="4"/>
    <x v="12"/>
    <n v="3500"/>
    <x v="5"/>
    <n v="70000"/>
    <x v="190"/>
    <n v="0"/>
    <x v="8"/>
  </r>
  <r>
    <n v="1402"/>
    <d v="2025-02-09T00:00:00"/>
    <x v="12"/>
    <x v="3"/>
    <x v="1"/>
    <x v="0"/>
    <x v="10"/>
    <n v="1800"/>
    <x v="5"/>
    <n v="34200"/>
    <x v="27"/>
    <n v="0"/>
    <x v="7"/>
  </r>
  <r>
    <n v="1403"/>
    <d v="2025-10-21T00:00:00"/>
    <x v="5"/>
    <x v="1"/>
    <x v="0"/>
    <x v="3"/>
    <x v="19"/>
    <n v="11000"/>
    <x v="1"/>
    <n v="55000"/>
    <x v="319"/>
    <n v="2750"/>
    <x v="3"/>
  </r>
  <r>
    <n v="1404"/>
    <d v="2025-03-01T00:00:00"/>
    <x v="7"/>
    <x v="2"/>
    <x v="3"/>
    <x v="5"/>
    <x v="4"/>
    <n v="250"/>
    <x v="0"/>
    <n v="1750"/>
    <x v="187"/>
    <n v="262.5"/>
    <x v="10"/>
  </r>
  <r>
    <n v="1405"/>
    <d v="2025-09-19T00:00:00"/>
    <x v="10"/>
    <x v="1"/>
    <x v="2"/>
    <x v="1"/>
    <x v="9"/>
    <n v="15000"/>
    <x v="2"/>
    <n v="30000"/>
    <x v="320"/>
    <n v="3000"/>
    <x v="9"/>
  </r>
  <r>
    <n v="1406"/>
    <d v="2025-08-22T00:00:00"/>
    <x v="6"/>
    <x v="1"/>
    <x v="3"/>
    <x v="6"/>
    <x v="9"/>
    <n v="9000"/>
    <x v="4"/>
    <n v="18000"/>
    <x v="150"/>
    <n v="2160"/>
    <x v="6"/>
  </r>
  <r>
    <n v="1407"/>
    <d v="2025-01-12T00:00:00"/>
    <x v="8"/>
    <x v="1"/>
    <x v="2"/>
    <x v="5"/>
    <x v="7"/>
    <n v="8500"/>
    <x v="5"/>
    <n v="76500"/>
    <x v="293"/>
    <n v="0"/>
    <x v="2"/>
  </r>
  <r>
    <n v="1408"/>
    <d v="2025-01-24T00:00:00"/>
    <x v="8"/>
    <x v="1"/>
    <x v="1"/>
    <x v="2"/>
    <x v="5"/>
    <n v="8500"/>
    <x v="0"/>
    <n v="102000"/>
    <x v="110"/>
    <n v="15300"/>
    <x v="2"/>
  </r>
  <r>
    <n v="1409"/>
    <d v="2025-02-05T00:00:00"/>
    <x v="12"/>
    <x v="3"/>
    <x v="0"/>
    <x v="1"/>
    <x v="14"/>
    <n v="1800"/>
    <x v="5"/>
    <n v="28800"/>
    <x v="148"/>
    <n v="0"/>
    <x v="7"/>
  </r>
  <r>
    <n v="1410"/>
    <d v="2025-04-03T00:00:00"/>
    <x v="11"/>
    <x v="3"/>
    <x v="3"/>
    <x v="4"/>
    <x v="19"/>
    <n v="3500"/>
    <x v="0"/>
    <n v="17500"/>
    <x v="11"/>
    <n v="2625"/>
    <x v="1"/>
  </r>
  <r>
    <n v="1411"/>
    <d v="2025-07-15T00:00:00"/>
    <x v="10"/>
    <x v="1"/>
    <x v="1"/>
    <x v="7"/>
    <x v="11"/>
    <n v="15000"/>
    <x v="2"/>
    <n v="195000"/>
    <x v="321"/>
    <n v="19500"/>
    <x v="5"/>
  </r>
  <r>
    <n v="1412"/>
    <d v="2025-12-01T00:00:00"/>
    <x v="13"/>
    <x v="0"/>
    <x v="2"/>
    <x v="1"/>
    <x v="5"/>
    <n v="42000"/>
    <x v="5"/>
    <n v="504000"/>
    <x v="185"/>
    <n v="0"/>
    <x v="8"/>
  </r>
  <r>
    <n v="1413"/>
    <d v="2025-09-28T00:00:00"/>
    <x v="1"/>
    <x v="0"/>
    <x v="1"/>
    <x v="6"/>
    <x v="6"/>
    <n v="1200"/>
    <x v="5"/>
    <n v="9600"/>
    <x v="322"/>
    <n v="0"/>
    <x v="9"/>
  </r>
  <r>
    <n v="1414"/>
    <d v="2025-08-26T00:00:00"/>
    <x v="7"/>
    <x v="2"/>
    <x v="3"/>
    <x v="0"/>
    <x v="3"/>
    <n v="250"/>
    <x v="2"/>
    <n v="4500"/>
    <x v="323"/>
    <n v="450"/>
    <x v="6"/>
  </r>
  <r>
    <n v="1415"/>
    <d v="2025-05-07T00:00:00"/>
    <x v="10"/>
    <x v="1"/>
    <x v="0"/>
    <x v="0"/>
    <x v="5"/>
    <n v="15000"/>
    <x v="1"/>
    <n v="180000"/>
    <x v="324"/>
    <n v="9000"/>
    <x v="4"/>
  </r>
  <r>
    <n v="1416"/>
    <d v="2025-02-27T00:00:00"/>
    <x v="2"/>
    <x v="0"/>
    <x v="1"/>
    <x v="0"/>
    <x v="15"/>
    <n v="55000"/>
    <x v="4"/>
    <n v="770000"/>
    <x v="325"/>
    <n v="92400"/>
    <x v="7"/>
  </r>
  <r>
    <n v="1417"/>
    <d v="2025-04-16T00:00:00"/>
    <x v="0"/>
    <x v="0"/>
    <x v="1"/>
    <x v="3"/>
    <x v="1"/>
    <n v="18000"/>
    <x v="4"/>
    <n v="72000"/>
    <x v="326"/>
    <n v="8640"/>
    <x v="1"/>
  </r>
  <r>
    <n v="1418"/>
    <d v="2025-11-03T00:00:00"/>
    <x v="7"/>
    <x v="2"/>
    <x v="1"/>
    <x v="1"/>
    <x v="9"/>
    <n v="250"/>
    <x v="1"/>
    <n v="500"/>
    <x v="128"/>
    <n v="25"/>
    <x v="0"/>
  </r>
  <r>
    <n v="1419"/>
    <d v="2025-08-13T00:00:00"/>
    <x v="3"/>
    <x v="0"/>
    <x v="1"/>
    <x v="7"/>
    <x v="3"/>
    <n v="800"/>
    <x v="1"/>
    <n v="14400"/>
    <x v="327"/>
    <n v="720"/>
    <x v="6"/>
  </r>
  <r>
    <n v="1420"/>
    <d v="2025-09-15T00:00:00"/>
    <x v="4"/>
    <x v="0"/>
    <x v="0"/>
    <x v="4"/>
    <x v="6"/>
    <n v="14000"/>
    <x v="0"/>
    <n v="112000"/>
    <x v="328"/>
    <n v="16800"/>
    <x v="9"/>
  </r>
  <r>
    <n v="1421"/>
    <d v="2025-05-02T00:00:00"/>
    <x v="4"/>
    <x v="0"/>
    <x v="2"/>
    <x v="1"/>
    <x v="19"/>
    <n v="14000"/>
    <x v="0"/>
    <n v="70000"/>
    <x v="329"/>
    <n v="10500"/>
    <x v="4"/>
  </r>
  <r>
    <n v="1422"/>
    <d v="2025-06-03T00:00:00"/>
    <x v="4"/>
    <x v="0"/>
    <x v="2"/>
    <x v="1"/>
    <x v="9"/>
    <n v="14000"/>
    <x v="4"/>
    <n v="28000"/>
    <x v="330"/>
    <n v="3360"/>
    <x v="11"/>
  </r>
  <r>
    <n v="1423"/>
    <d v="2025-10-12T00:00:00"/>
    <x v="10"/>
    <x v="1"/>
    <x v="3"/>
    <x v="4"/>
    <x v="9"/>
    <n v="15000"/>
    <x v="3"/>
    <n v="30000"/>
    <x v="331"/>
    <n v="2400"/>
    <x v="3"/>
  </r>
  <r>
    <n v="1424"/>
    <d v="2025-12-23T00:00:00"/>
    <x v="8"/>
    <x v="1"/>
    <x v="0"/>
    <x v="1"/>
    <x v="15"/>
    <n v="8500"/>
    <x v="1"/>
    <n v="119000"/>
    <x v="332"/>
    <n v="5950"/>
    <x v="8"/>
  </r>
  <r>
    <n v="1425"/>
    <d v="2025-04-05T00:00:00"/>
    <x v="11"/>
    <x v="3"/>
    <x v="2"/>
    <x v="0"/>
    <x v="3"/>
    <n v="3500"/>
    <x v="2"/>
    <n v="63000"/>
    <x v="333"/>
    <n v="6300"/>
    <x v="1"/>
  </r>
  <r>
    <n v="1426"/>
    <d v="2025-06-03T00:00:00"/>
    <x v="13"/>
    <x v="0"/>
    <x v="1"/>
    <x v="1"/>
    <x v="19"/>
    <n v="42000"/>
    <x v="2"/>
    <n v="210000"/>
    <x v="334"/>
    <n v="21000"/>
    <x v="11"/>
  </r>
  <r>
    <n v="1427"/>
    <d v="2025-08-02T00:00:00"/>
    <x v="5"/>
    <x v="1"/>
    <x v="3"/>
    <x v="0"/>
    <x v="13"/>
    <n v="11000"/>
    <x v="1"/>
    <n v="187000"/>
    <x v="335"/>
    <n v="9350"/>
    <x v="6"/>
  </r>
  <r>
    <n v="1428"/>
    <d v="2025-05-11T00:00:00"/>
    <x v="3"/>
    <x v="0"/>
    <x v="1"/>
    <x v="3"/>
    <x v="16"/>
    <n v="800"/>
    <x v="0"/>
    <n v="8800"/>
    <x v="249"/>
    <n v="1320"/>
    <x v="4"/>
  </r>
  <r>
    <n v="1429"/>
    <d v="2025-07-09T00:00:00"/>
    <x v="0"/>
    <x v="0"/>
    <x v="2"/>
    <x v="2"/>
    <x v="3"/>
    <n v="18000"/>
    <x v="0"/>
    <n v="324000"/>
    <x v="158"/>
    <n v="48600"/>
    <x v="5"/>
  </r>
  <r>
    <n v="1430"/>
    <d v="2025-05-18T00:00:00"/>
    <x v="8"/>
    <x v="1"/>
    <x v="1"/>
    <x v="5"/>
    <x v="12"/>
    <n v="8500"/>
    <x v="4"/>
    <n v="170000"/>
    <x v="336"/>
    <n v="20400"/>
    <x v="4"/>
  </r>
  <r>
    <n v="1431"/>
    <d v="2025-04-07T00:00:00"/>
    <x v="11"/>
    <x v="3"/>
    <x v="2"/>
    <x v="3"/>
    <x v="10"/>
    <n v="3500"/>
    <x v="0"/>
    <n v="66500"/>
    <x v="337"/>
    <n v="9975"/>
    <x v="1"/>
  </r>
  <r>
    <n v="1432"/>
    <d v="2025-04-17T00:00:00"/>
    <x v="13"/>
    <x v="0"/>
    <x v="1"/>
    <x v="0"/>
    <x v="16"/>
    <n v="42000"/>
    <x v="3"/>
    <n v="462000"/>
    <x v="338"/>
    <n v="36960"/>
    <x v="1"/>
  </r>
  <r>
    <n v="1433"/>
    <d v="2025-04-08T00:00:00"/>
    <x v="14"/>
    <x v="2"/>
    <x v="3"/>
    <x v="0"/>
    <x v="1"/>
    <n v="180"/>
    <x v="0"/>
    <n v="720"/>
    <x v="339"/>
    <n v="108"/>
    <x v="1"/>
  </r>
  <r>
    <n v="1434"/>
    <d v="2025-12-23T00:00:00"/>
    <x v="6"/>
    <x v="1"/>
    <x v="2"/>
    <x v="4"/>
    <x v="4"/>
    <n v="9000"/>
    <x v="2"/>
    <n v="63000"/>
    <x v="333"/>
    <n v="6300"/>
    <x v="8"/>
  </r>
  <r>
    <n v="1435"/>
    <d v="2025-05-25T00:00:00"/>
    <x v="8"/>
    <x v="1"/>
    <x v="0"/>
    <x v="6"/>
    <x v="17"/>
    <n v="8500"/>
    <x v="4"/>
    <n v="127500"/>
    <x v="340"/>
    <n v="15300"/>
    <x v="4"/>
  </r>
  <r>
    <n v="1436"/>
    <d v="2025-05-14T00:00:00"/>
    <x v="9"/>
    <x v="0"/>
    <x v="3"/>
    <x v="5"/>
    <x v="13"/>
    <n v="2500"/>
    <x v="2"/>
    <n v="42500"/>
    <x v="300"/>
    <n v="4250"/>
    <x v="4"/>
  </r>
  <r>
    <n v="1437"/>
    <d v="2025-08-29T00:00:00"/>
    <x v="11"/>
    <x v="3"/>
    <x v="0"/>
    <x v="4"/>
    <x v="16"/>
    <n v="3500"/>
    <x v="1"/>
    <n v="38500"/>
    <x v="341"/>
    <n v="1925"/>
    <x v="6"/>
  </r>
  <r>
    <n v="1438"/>
    <d v="2025-07-31T00:00:00"/>
    <x v="2"/>
    <x v="0"/>
    <x v="2"/>
    <x v="2"/>
    <x v="10"/>
    <n v="55000"/>
    <x v="1"/>
    <n v="1045000"/>
    <x v="342"/>
    <n v="52250"/>
    <x v="5"/>
  </r>
  <r>
    <n v="1439"/>
    <d v="2025-05-14T00:00:00"/>
    <x v="5"/>
    <x v="1"/>
    <x v="3"/>
    <x v="6"/>
    <x v="10"/>
    <n v="11000"/>
    <x v="4"/>
    <n v="209000"/>
    <x v="343"/>
    <n v="25080"/>
    <x v="4"/>
  </r>
  <r>
    <n v="1440"/>
    <d v="2025-03-20T00:00:00"/>
    <x v="3"/>
    <x v="0"/>
    <x v="3"/>
    <x v="0"/>
    <x v="16"/>
    <n v="800"/>
    <x v="1"/>
    <n v="8800"/>
    <x v="344"/>
    <n v="440"/>
    <x v="10"/>
  </r>
  <r>
    <n v="1441"/>
    <d v="2025-09-13T00:00:00"/>
    <x v="5"/>
    <x v="1"/>
    <x v="3"/>
    <x v="3"/>
    <x v="16"/>
    <n v="11000"/>
    <x v="3"/>
    <n v="121000"/>
    <x v="345"/>
    <n v="9680"/>
    <x v="9"/>
  </r>
  <r>
    <n v="1442"/>
    <d v="2025-08-24T00:00:00"/>
    <x v="1"/>
    <x v="0"/>
    <x v="2"/>
    <x v="3"/>
    <x v="5"/>
    <n v="1200"/>
    <x v="1"/>
    <n v="14400"/>
    <x v="327"/>
    <n v="720"/>
    <x v="6"/>
  </r>
  <r>
    <n v="1443"/>
    <d v="2025-04-05T00:00:00"/>
    <x v="12"/>
    <x v="3"/>
    <x v="1"/>
    <x v="2"/>
    <x v="3"/>
    <n v="1800"/>
    <x v="0"/>
    <n v="32400"/>
    <x v="346"/>
    <n v="4860"/>
    <x v="1"/>
  </r>
  <r>
    <n v="1444"/>
    <d v="2025-02-08T00:00:00"/>
    <x v="13"/>
    <x v="0"/>
    <x v="3"/>
    <x v="7"/>
    <x v="9"/>
    <n v="42000"/>
    <x v="5"/>
    <n v="84000"/>
    <x v="312"/>
    <n v="0"/>
    <x v="7"/>
  </r>
  <r>
    <n v="1445"/>
    <d v="2025-11-19T00:00:00"/>
    <x v="3"/>
    <x v="0"/>
    <x v="2"/>
    <x v="2"/>
    <x v="2"/>
    <n v="800"/>
    <x v="0"/>
    <n v="2400"/>
    <x v="180"/>
    <n v="360"/>
    <x v="0"/>
  </r>
  <r>
    <n v="1446"/>
    <d v="2025-04-22T00:00:00"/>
    <x v="5"/>
    <x v="1"/>
    <x v="1"/>
    <x v="3"/>
    <x v="17"/>
    <n v="11000"/>
    <x v="3"/>
    <n v="165000"/>
    <x v="347"/>
    <n v="13200"/>
    <x v="1"/>
  </r>
  <r>
    <n v="1447"/>
    <d v="2025-12-04T00:00:00"/>
    <x v="10"/>
    <x v="1"/>
    <x v="3"/>
    <x v="2"/>
    <x v="0"/>
    <n v="15000"/>
    <x v="5"/>
    <n v="15000"/>
    <x v="348"/>
    <n v="0"/>
    <x v="8"/>
  </r>
  <r>
    <n v="1448"/>
    <d v="2025-01-09T00:00:00"/>
    <x v="5"/>
    <x v="1"/>
    <x v="0"/>
    <x v="2"/>
    <x v="7"/>
    <n v="11000"/>
    <x v="4"/>
    <n v="99000"/>
    <x v="349"/>
    <n v="11880"/>
    <x v="2"/>
  </r>
  <r>
    <n v="1449"/>
    <d v="2025-09-15T00:00:00"/>
    <x v="13"/>
    <x v="0"/>
    <x v="1"/>
    <x v="5"/>
    <x v="15"/>
    <n v="42000"/>
    <x v="1"/>
    <n v="588000"/>
    <x v="350"/>
    <n v="29400"/>
    <x v="9"/>
  </r>
  <r>
    <n v="1450"/>
    <d v="2025-09-26T00:00:00"/>
    <x v="1"/>
    <x v="0"/>
    <x v="0"/>
    <x v="4"/>
    <x v="6"/>
    <n v="1200"/>
    <x v="1"/>
    <n v="9600"/>
    <x v="351"/>
    <n v="480"/>
    <x v="9"/>
  </r>
  <r>
    <n v="1451"/>
    <d v="2025-05-17T00:00:00"/>
    <x v="11"/>
    <x v="3"/>
    <x v="0"/>
    <x v="1"/>
    <x v="11"/>
    <n v="3500"/>
    <x v="5"/>
    <n v="45500"/>
    <x v="177"/>
    <n v="0"/>
    <x v="4"/>
  </r>
  <r>
    <n v="1452"/>
    <d v="2025-08-24T00:00:00"/>
    <x v="6"/>
    <x v="1"/>
    <x v="2"/>
    <x v="6"/>
    <x v="6"/>
    <n v="9000"/>
    <x v="0"/>
    <n v="72000"/>
    <x v="57"/>
    <n v="10800"/>
    <x v="6"/>
  </r>
  <r>
    <n v="1453"/>
    <d v="2025-12-17T00:00:00"/>
    <x v="13"/>
    <x v="0"/>
    <x v="1"/>
    <x v="5"/>
    <x v="2"/>
    <n v="42000"/>
    <x v="0"/>
    <n v="126000"/>
    <x v="141"/>
    <n v="18900"/>
    <x v="8"/>
  </r>
  <r>
    <n v="1454"/>
    <d v="2025-07-27T00:00:00"/>
    <x v="8"/>
    <x v="1"/>
    <x v="3"/>
    <x v="2"/>
    <x v="11"/>
    <n v="8500"/>
    <x v="4"/>
    <n v="110500"/>
    <x v="352"/>
    <n v="13260"/>
    <x v="5"/>
  </r>
  <r>
    <n v="1455"/>
    <d v="2025-11-23T00:00:00"/>
    <x v="2"/>
    <x v="0"/>
    <x v="3"/>
    <x v="1"/>
    <x v="8"/>
    <n v="55000"/>
    <x v="5"/>
    <n v="330000"/>
    <x v="353"/>
    <n v="0"/>
    <x v="0"/>
  </r>
  <r>
    <n v="1456"/>
    <d v="2025-11-27T00:00:00"/>
    <x v="11"/>
    <x v="3"/>
    <x v="1"/>
    <x v="2"/>
    <x v="16"/>
    <n v="3500"/>
    <x v="4"/>
    <n v="38500"/>
    <x v="354"/>
    <n v="4620"/>
    <x v="0"/>
  </r>
  <r>
    <n v="1457"/>
    <d v="2025-04-28T00:00:00"/>
    <x v="3"/>
    <x v="0"/>
    <x v="0"/>
    <x v="2"/>
    <x v="10"/>
    <n v="800"/>
    <x v="2"/>
    <n v="15200"/>
    <x v="327"/>
    <n v="1520"/>
    <x v="1"/>
  </r>
  <r>
    <n v="1458"/>
    <d v="2025-02-08T00:00:00"/>
    <x v="7"/>
    <x v="2"/>
    <x v="1"/>
    <x v="7"/>
    <x v="7"/>
    <n v="250"/>
    <x v="4"/>
    <n v="2250"/>
    <x v="39"/>
    <n v="270"/>
    <x v="7"/>
  </r>
  <r>
    <n v="1459"/>
    <d v="2025-06-11T00:00:00"/>
    <x v="2"/>
    <x v="0"/>
    <x v="2"/>
    <x v="1"/>
    <x v="4"/>
    <n v="55000"/>
    <x v="4"/>
    <n v="385000"/>
    <x v="355"/>
    <n v="46200"/>
    <x v="11"/>
  </r>
  <r>
    <n v="1460"/>
    <d v="2025-02-09T00:00:00"/>
    <x v="4"/>
    <x v="0"/>
    <x v="2"/>
    <x v="1"/>
    <x v="8"/>
    <n v="14000"/>
    <x v="4"/>
    <n v="84000"/>
    <x v="356"/>
    <n v="10080"/>
    <x v="7"/>
  </r>
  <r>
    <n v="1461"/>
    <d v="2025-12-13T00:00:00"/>
    <x v="12"/>
    <x v="3"/>
    <x v="3"/>
    <x v="7"/>
    <x v="3"/>
    <n v="1800"/>
    <x v="3"/>
    <n v="32400"/>
    <x v="22"/>
    <n v="2592"/>
    <x v="8"/>
  </r>
  <r>
    <n v="1462"/>
    <d v="2025-12-19T00:00:00"/>
    <x v="14"/>
    <x v="2"/>
    <x v="0"/>
    <x v="2"/>
    <x v="2"/>
    <n v="180"/>
    <x v="4"/>
    <n v="540"/>
    <x v="357"/>
    <n v="64.800000000000011"/>
    <x v="8"/>
  </r>
  <r>
    <n v="1463"/>
    <d v="2025-02-20T00:00:00"/>
    <x v="8"/>
    <x v="1"/>
    <x v="0"/>
    <x v="1"/>
    <x v="6"/>
    <n v="8500"/>
    <x v="5"/>
    <n v="68000"/>
    <x v="358"/>
    <n v="0"/>
    <x v="7"/>
  </r>
  <r>
    <n v="1464"/>
    <d v="2025-06-17T00:00:00"/>
    <x v="2"/>
    <x v="0"/>
    <x v="3"/>
    <x v="0"/>
    <x v="7"/>
    <n v="55000"/>
    <x v="2"/>
    <n v="495000"/>
    <x v="359"/>
    <n v="49500"/>
    <x v="11"/>
  </r>
  <r>
    <n v="1465"/>
    <d v="2025-07-02T00:00:00"/>
    <x v="5"/>
    <x v="1"/>
    <x v="2"/>
    <x v="1"/>
    <x v="11"/>
    <n v="11000"/>
    <x v="2"/>
    <n v="143000"/>
    <x v="360"/>
    <n v="14300"/>
    <x v="5"/>
  </r>
  <r>
    <n v="1466"/>
    <d v="2025-02-13T00:00:00"/>
    <x v="11"/>
    <x v="3"/>
    <x v="2"/>
    <x v="5"/>
    <x v="12"/>
    <n v="3500"/>
    <x v="3"/>
    <n v="70000"/>
    <x v="361"/>
    <n v="5600"/>
    <x v="7"/>
  </r>
  <r>
    <n v="1467"/>
    <d v="2025-02-12T00:00:00"/>
    <x v="4"/>
    <x v="0"/>
    <x v="2"/>
    <x v="1"/>
    <x v="19"/>
    <n v="14000"/>
    <x v="2"/>
    <n v="70000"/>
    <x v="362"/>
    <n v="7000"/>
    <x v="7"/>
  </r>
  <r>
    <n v="1468"/>
    <d v="2025-06-12T00:00:00"/>
    <x v="9"/>
    <x v="0"/>
    <x v="1"/>
    <x v="6"/>
    <x v="1"/>
    <n v="2500"/>
    <x v="5"/>
    <n v="10000"/>
    <x v="363"/>
    <n v="0"/>
    <x v="11"/>
  </r>
  <r>
    <n v="1469"/>
    <d v="2025-08-16T00:00:00"/>
    <x v="9"/>
    <x v="0"/>
    <x v="2"/>
    <x v="5"/>
    <x v="7"/>
    <n v="2500"/>
    <x v="5"/>
    <n v="22500"/>
    <x v="258"/>
    <n v="0"/>
    <x v="6"/>
  </r>
  <r>
    <n v="1470"/>
    <d v="2025-04-06T00:00:00"/>
    <x v="8"/>
    <x v="1"/>
    <x v="3"/>
    <x v="5"/>
    <x v="17"/>
    <n v="8500"/>
    <x v="4"/>
    <n v="127500"/>
    <x v="340"/>
    <n v="15300"/>
    <x v="1"/>
  </r>
  <r>
    <n v="1471"/>
    <d v="2025-01-14T00:00:00"/>
    <x v="0"/>
    <x v="0"/>
    <x v="1"/>
    <x v="4"/>
    <x v="5"/>
    <n v="18000"/>
    <x v="4"/>
    <n v="216000"/>
    <x v="64"/>
    <n v="25920"/>
    <x v="2"/>
  </r>
  <r>
    <n v="1472"/>
    <d v="2025-07-17T00:00:00"/>
    <x v="2"/>
    <x v="0"/>
    <x v="3"/>
    <x v="5"/>
    <x v="18"/>
    <n v="55000"/>
    <x v="2"/>
    <n v="550000"/>
    <x v="364"/>
    <n v="55000"/>
    <x v="5"/>
  </r>
  <r>
    <n v="1473"/>
    <d v="2025-10-14T00:00:00"/>
    <x v="12"/>
    <x v="3"/>
    <x v="2"/>
    <x v="1"/>
    <x v="6"/>
    <n v="1800"/>
    <x v="4"/>
    <n v="14400"/>
    <x v="365"/>
    <n v="1728"/>
    <x v="3"/>
  </r>
  <r>
    <n v="1474"/>
    <d v="2025-03-28T00:00:00"/>
    <x v="1"/>
    <x v="0"/>
    <x v="0"/>
    <x v="3"/>
    <x v="7"/>
    <n v="1200"/>
    <x v="3"/>
    <n v="10800"/>
    <x v="366"/>
    <n v="864"/>
    <x v="10"/>
  </r>
  <r>
    <n v="1475"/>
    <d v="2025-03-16T00:00:00"/>
    <x v="0"/>
    <x v="0"/>
    <x v="0"/>
    <x v="1"/>
    <x v="8"/>
    <n v="18000"/>
    <x v="2"/>
    <n v="108000"/>
    <x v="367"/>
    <n v="10800"/>
    <x v="10"/>
  </r>
  <r>
    <n v="1476"/>
    <d v="2025-06-03T00:00:00"/>
    <x v="10"/>
    <x v="1"/>
    <x v="0"/>
    <x v="0"/>
    <x v="2"/>
    <n v="15000"/>
    <x v="3"/>
    <n v="45000"/>
    <x v="368"/>
    <n v="3600"/>
    <x v="11"/>
  </r>
  <r>
    <n v="1477"/>
    <d v="2025-11-17T00:00:00"/>
    <x v="10"/>
    <x v="1"/>
    <x v="2"/>
    <x v="3"/>
    <x v="12"/>
    <n v="15000"/>
    <x v="4"/>
    <n v="300000"/>
    <x v="52"/>
    <n v="36000"/>
    <x v="0"/>
  </r>
  <r>
    <n v="1478"/>
    <d v="2025-02-24T00:00:00"/>
    <x v="1"/>
    <x v="0"/>
    <x v="3"/>
    <x v="4"/>
    <x v="18"/>
    <n v="1200"/>
    <x v="5"/>
    <n v="12000"/>
    <x v="163"/>
    <n v="0"/>
    <x v="7"/>
  </r>
  <r>
    <n v="1479"/>
    <d v="2025-11-14T00:00:00"/>
    <x v="8"/>
    <x v="1"/>
    <x v="0"/>
    <x v="1"/>
    <x v="16"/>
    <n v="8500"/>
    <x v="2"/>
    <n v="93500"/>
    <x v="369"/>
    <n v="9350"/>
    <x v="0"/>
  </r>
  <r>
    <n v="1480"/>
    <d v="2025-11-30T00:00:00"/>
    <x v="6"/>
    <x v="1"/>
    <x v="0"/>
    <x v="0"/>
    <x v="19"/>
    <n v="9000"/>
    <x v="3"/>
    <n v="45000"/>
    <x v="368"/>
    <n v="3600"/>
    <x v="0"/>
  </r>
  <r>
    <n v="1481"/>
    <d v="2025-09-03T00:00:00"/>
    <x v="9"/>
    <x v="0"/>
    <x v="0"/>
    <x v="6"/>
    <x v="8"/>
    <n v="2500"/>
    <x v="2"/>
    <n v="15000"/>
    <x v="370"/>
    <n v="1500"/>
    <x v="9"/>
  </r>
  <r>
    <n v="1482"/>
    <d v="2025-12-22T00:00:00"/>
    <x v="7"/>
    <x v="2"/>
    <x v="2"/>
    <x v="4"/>
    <x v="14"/>
    <n v="250"/>
    <x v="4"/>
    <n v="4000"/>
    <x v="188"/>
    <n v="480"/>
    <x v="8"/>
  </r>
  <r>
    <n v="1483"/>
    <d v="2025-07-12T00:00:00"/>
    <x v="4"/>
    <x v="0"/>
    <x v="1"/>
    <x v="0"/>
    <x v="11"/>
    <n v="14000"/>
    <x v="3"/>
    <n v="182000"/>
    <x v="98"/>
    <n v="14560"/>
    <x v="5"/>
  </r>
  <r>
    <n v="1484"/>
    <d v="2025-10-31T00:00:00"/>
    <x v="5"/>
    <x v="1"/>
    <x v="1"/>
    <x v="3"/>
    <x v="8"/>
    <n v="11000"/>
    <x v="0"/>
    <n v="66000"/>
    <x v="371"/>
    <n v="9900"/>
    <x v="3"/>
  </r>
  <r>
    <n v="1485"/>
    <d v="2025-12-29T00:00:00"/>
    <x v="3"/>
    <x v="0"/>
    <x v="1"/>
    <x v="1"/>
    <x v="17"/>
    <n v="800"/>
    <x v="3"/>
    <n v="12000"/>
    <x v="68"/>
    <n v="960"/>
    <x v="8"/>
  </r>
  <r>
    <n v="1486"/>
    <d v="2025-12-11T00:00:00"/>
    <x v="10"/>
    <x v="1"/>
    <x v="0"/>
    <x v="0"/>
    <x v="19"/>
    <n v="15000"/>
    <x v="0"/>
    <n v="75000"/>
    <x v="372"/>
    <n v="11250"/>
    <x v="8"/>
  </r>
  <r>
    <n v="1487"/>
    <d v="2025-05-10T00:00:00"/>
    <x v="7"/>
    <x v="2"/>
    <x v="3"/>
    <x v="1"/>
    <x v="19"/>
    <n v="250"/>
    <x v="0"/>
    <n v="1250"/>
    <x v="373"/>
    <n v="187.5"/>
    <x v="4"/>
  </r>
  <r>
    <n v="1488"/>
    <d v="2025-02-07T00:00:00"/>
    <x v="10"/>
    <x v="1"/>
    <x v="3"/>
    <x v="1"/>
    <x v="12"/>
    <n v="15000"/>
    <x v="2"/>
    <n v="300000"/>
    <x v="134"/>
    <n v="30000"/>
    <x v="7"/>
  </r>
  <r>
    <n v="1489"/>
    <d v="2025-10-06T00:00:00"/>
    <x v="2"/>
    <x v="0"/>
    <x v="1"/>
    <x v="5"/>
    <x v="5"/>
    <n v="55000"/>
    <x v="0"/>
    <n v="660000"/>
    <x v="374"/>
    <n v="99000"/>
    <x v="3"/>
  </r>
  <r>
    <n v="1490"/>
    <d v="2025-05-08T00:00:00"/>
    <x v="7"/>
    <x v="2"/>
    <x v="1"/>
    <x v="1"/>
    <x v="5"/>
    <n v="250"/>
    <x v="1"/>
    <n v="3000"/>
    <x v="375"/>
    <n v="150"/>
    <x v="4"/>
  </r>
  <r>
    <n v="1491"/>
    <d v="2025-06-19T00:00:00"/>
    <x v="11"/>
    <x v="3"/>
    <x v="1"/>
    <x v="5"/>
    <x v="15"/>
    <n v="3500"/>
    <x v="5"/>
    <n v="49000"/>
    <x v="376"/>
    <n v="0"/>
    <x v="11"/>
  </r>
  <r>
    <n v="1492"/>
    <d v="2025-05-13T00:00:00"/>
    <x v="3"/>
    <x v="0"/>
    <x v="2"/>
    <x v="3"/>
    <x v="13"/>
    <n v="800"/>
    <x v="0"/>
    <n v="13600"/>
    <x v="377"/>
    <n v="2040"/>
    <x v="4"/>
  </r>
  <r>
    <n v="1493"/>
    <d v="2025-07-11T00:00:00"/>
    <x v="8"/>
    <x v="1"/>
    <x v="2"/>
    <x v="4"/>
    <x v="17"/>
    <n v="8500"/>
    <x v="0"/>
    <n v="127500"/>
    <x v="378"/>
    <n v="19125"/>
    <x v="5"/>
  </r>
  <r>
    <n v="1494"/>
    <d v="2025-01-13T00:00:00"/>
    <x v="10"/>
    <x v="1"/>
    <x v="3"/>
    <x v="5"/>
    <x v="1"/>
    <n v="15000"/>
    <x v="3"/>
    <n v="60000"/>
    <x v="226"/>
    <n v="4800"/>
    <x v="2"/>
  </r>
  <r>
    <n v="1495"/>
    <d v="2025-03-01T00:00:00"/>
    <x v="13"/>
    <x v="0"/>
    <x v="0"/>
    <x v="4"/>
    <x v="19"/>
    <n v="42000"/>
    <x v="3"/>
    <n v="210000"/>
    <x v="168"/>
    <n v="16800"/>
    <x v="10"/>
  </r>
  <r>
    <n v="1496"/>
    <d v="2025-08-22T00:00:00"/>
    <x v="11"/>
    <x v="3"/>
    <x v="3"/>
    <x v="4"/>
    <x v="4"/>
    <n v="3500"/>
    <x v="4"/>
    <n v="24500"/>
    <x v="379"/>
    <n v="2940"/>
    <x v="6"/>
  </r>
  <r>
    <n v="1497"/>
    <d v="2025-09-01T00:00:00"/>
    <x v="0"/>
    <x v="0"/>
    <x v="3"/>
    <x v="4"/>
    <x v="17"/>
    <n v="18000"/>
    <x v="0"/>
    <n v="270000"/>
    <x v="137"/>
    <n v="40500"/>
    <x v="9"/>
  </r>
  <r>
    <n v="1498"/>
    <d v="2025-02-04T00:00:00"/>
    <x v="4"/>
    <x v="0"/>
    <x v="1"/>
    <x v="2"/>
    <x v="9"/>
    <n v="14000"/>
    <x v="0"/>
    <n v="28000"/>
    <x v="380"/>
    <n v="4200"/>
    <x v="7"/>
  </r>
  <r>
    <n v="1499"/>
    <d v="2025-06-25T00:00:00"/>
    <x v="7"/>
    <x v="2"/>
    <x v="2"/>
    <x v="0"/>
    <x v="1"/>
    <n v="250"/>
    <x v="0"/>
    <n v="1000"/>
    <x v="381"/>
    <n v="150"/>
    <x v="11"/>
  </r>
  <r>
    <n v="1500"/>
    <d v="2025-09-22T00:00:00"/>
    <x v="1"/>
    <x v="0"/>
    <x v="0"/>
    <x v="1"/>
    <x v="3"/>
    <n v="1200"/>
    <x v="1"/>
    <n v="21600"/>
    <x v="382"/>
    <n v="1080"/>
    <x v="9"/>
  </r>
  <r>
    <n v="1501"/>
    <d v="2025-08-25T00:00:00"/>
    <x v="3"/>
    <x v="0"/>
    <x v="2"/>
    <x v="7"/>
    <x v="11"/>
    <n v="800"/>
    <x v="0"/>
    <n v="10400"/>
    <x v="90"/>
    <n v="1560"/>
    <x v="6"/>
  </r>
  <r>
    <n v="1502"/>
    <d v="2025-11-24T00:00:00"/>
    <x v="7"/>
    <x v="2"/>
    <x v="1"/>
    <x v="0"/>
    <x v="15"/>
    <n v="250"/>
    <x v="2"/>
    <n v="3500"/>
    <x v="210"/>
    <n v="350"/>
    <x v="0"/>
  </r>
  <r>
    <n v="1503"/>
    <d v="2025-08-19T00:00:00"/>
    <x v="6"/>
    <x v="1"/>
    <x v="1"/>
    <x v="0"/>
    <x v="15"/>
    <n v="9000"/>
    <x v="2"/>
    <n v="126000"/>
    <x v="383"/>
    <n v="12600"/>
    <x v="6"/>
  </r>
  <r>
    <n v="1504"/>
    <d v="2025-04-16T00:00:00"/>
    <x v="4"/>
    <x v="0"/>
    <x v="1"/>
    <x v="7"/>
    <x v="2"/>
    <n v="14000"/>
    <x v="4"/>
    <n v="42000"/>
    <x v="126"/>
    <n v="5040"/>
    <x v="1"/>
  </r>
  <r>
    <n v="1505"/>
    <d v="2025-07-07T00:00:00"/>
    <x v="9"/>
    <x v="0"/>
    <x v="1"/>
    <x v="6"/>
    <x v="4"/>
    <n v="2500"/>
    <x v="2"/>
    <n v="17500"/>
    <x v="384"/>
    <n v="1750"/>
    <x v="5"/>
  </r>
  <r>
    <n v="1506"/>
    <d v="2025-12-10T00:00:00"/>
    <x v="13"/>
    <x v="0"/>
    <x v="0"/>
    <x v="1"/>
    <x v="14"/>
    <n v="42000"/>
    <x v="4"/>
    <n v="672000"/>
    <x v="385"/>
    <n v="80640"/>
    <x v="8"/>
  </r>
  <r>
    <n v="1507"/>
    <d v="2025-11-09T00:00:00"/>
    <x v="8"/>
    <x v="1"/>
    <x v="0"/>
    <x v="4"/>
    <x v="10"/>
    <n v="8500"/>
    <x v="5"/>
    <n v="161500"/>
    <x v="386"/>
    <n v="0"/>
    <x v="0"/>
  </r>
  <r>
    <n v="1508"/>
    <d v="2025-08-23T00:00:00"/>
    <x v="6"/>
    <x v="1"/>
    <x v="0"/>
    <x v="5"/>
    <x v="8"/>
    <n v="9000"/>
    <x v="0"/>
    <n v="54000"/>
    <x v="23"/>
    <n v="8100"/>
    <x v="6"/>
  </r>
  <r>
    <n v="1509"/>
    <d v="2025-12-11T00:00:00"/>
    <x v="1"/>
    <x v="0"/>
    <x v="2"/>
    <x v="6"/>
    <x v="16"/>
    <n v="1200"/>
    <x v="5"/>
    <n v="13200"/>
    <x v="216"/>
    <n v="0"/>
    <x v="8"/>
  </r>
  <r>
    <n v="1510"/>
    <d v="2025-03-01T00:00:00"/>
    <x v="1"/>
    <x v="0"/>
    <x v="2"/>
    <x v="1"/>
    <x v="5"/>
    <n v="1200"/>
    <x v="0"/>
    <n v="14400"/>
    <x v="387"/>
    <n v="2160"/>
    <x v="10"/>
  </r>
  <r>
    <n v="1511"/>
    <d v="2025-08-03T00:00:00"/>
    <x v="6"/>
    <x v="1"/>
    <x v="3"/>
    <x v="1"/>
    <x v="19"/>
    <n v="9000"/>
    <x v="4"/>
    <n v="45000"/>
    <x v="7"/>
    <n v="5400"/>
    <x v="6"/>
  </r>
  <r>
    <n v="1512"/>
    <d v="2025-04-06T00:00:00"/>
    <x v="10"/>
    <x v="1"/>
    <x v="2"/>
    <x v="7"/>
    <x v="3"/>
    <n v="15000"/>
    <x v="0"/>
    <n v="270000"/>
    <x v="137"/>
    <n v="40500"/>
    <x v="1"/>
  </r>
  <r>
    <n v="1513"/>
    <d v="2025-09-08T00:00:00"/>
    <x v="4"/>
    <x v="0"/>
    <x v="0"/>
    <x v="3"/>
    <x v="19"/>
    <n v="14000"/>
    <x v="1"/>
    <n v="70000"/>
    <x v="388"/>
    <n v="3500"/>
    <x v="9"/>
  </r>
  <r>
    <n v="1514"/>
    <d v="2025-11-14T00:00:00"/>
    <x v="2"/>
    <x v="0"/>
    <x v="3"/>
    <x v="7"/>
    <x v="5"/>
    <n v="55000"/>
    <x v="5"/>
    <n v="660000"/>
    <x v="389"/>
    <n v="0"/>
    <x v="0"/>
  </r>
  <r>
    <n v="1515"/>
    <d v="2025-04-10T00:00:00"/>
    <x v="13"/>
    <x v="0"/>
    <x v="3"/>
    <x v="1"/>
    <x v="11"/>
    <n v="42000"/>
    <x v="4"/>
    <n v="546000"/>
    <x v="390"/>
    <n v="65520"/>
    <x v="1"/>
  </r>
  <r>
    <n v="1516"/>
    <d v="2025-12-17T00:00:00"/>
    <x v="10"/>
    <x v="1"/>
    <x v="3"/>
    <x v="3"/>
    <x v="15"/>
    <n v="15000"/>
    <x v="0"/>
    <n v="210000"/>
    <x v="391"/>
    <n v="31500"/>
    <x v="8"/>
  </r>
  <r>
    <n v="1517"/>
    <d v="2025-03-27T00:00:00"/>
    <x v="0"/>
    <x v="0"/>
    <x v="2"/>
    <x v="6"/>
    <x v="10"/>
    <n v="18000"/>
    <x v="5"/>
    <n v="342000"/>
    <x v="105"/>
    <n v="0"/>
    <x v="10"/>
  </r>
  <r>
    <n v="1518"/>
    <d v="2025-01-17T00:00:00"/>
    <x v="4"/>
    <x v="0"/>
    <x v="0"/>
    <x v="7"/>
    <x v="6"/>
    <n v="14000"/>
    <x v="4"/>
    <n v="112000"/>
    <x v="392"/>
    <n v="13440"/>
    <x v="2"/>
  </r>
  <r>
    <n v="1519"/>
    <d v="2025-08-23T00:00:00"/>
    <x v="6"/>
    <x v="1"/>
    <x v="1"/>
    <x v="5"/>
    <x v="14"/>
    <n v="9000"/>
    <x v="4"/>
    <n v="144000"/>
    <x v="393"/>
    <n v="17280"/>
    <x v="6"/>
  </r>
  <r>
    <n v="1520"/>
    <d v="2025-05-18T00:00:00"/>
    <x v="11"/>
    <x v="3"/>
    <x v="1"/>
    <x v="3"/>
    <x v="3"/>
    <n v="3500"/>
    <x v="3"/>
    <n v="63000"/>
    <x v="394"/>
    <n v="5040"/>
    <x v="4"/>
  </r>
  <r>
    <n v="1521"/>
    <d v="2025-10-07T00:00:00"/>
    <x v="3"/>
    <x v="0"/>
    <x v="2"/>
    <x v="6"/>
    <x v="15"/>
    <n v="800"/>
    <x v="5"/>
    <n v="11200"/>
    <x v="395"/>
    <n v="0"/>
    <x v="3"/>
  </r>
  <r>
    <n v="1522"/>
    <d v="2025-01-17T00:00:00"/>
    <x v="10"/>
    <x v="1"/>
    <x v="1"/>
    <x v="3"/>
    <x v="7"/>
    <n v="15000"/>
    <x v="3"/>
    <n v="135000"/>
    <x v="121"/>
    <n v="10800"/>
    <x v="2"/>
  </r>
  <r>
    <n v="1523"/>
    <d v="2025-03-02T00:00:00"/>
    <x v="11"/>
    <x v="3"/>
    <x v="0"/>
    <x v="1"/>
    <x v="6"/>
    <n v="3500"/>
    <x v="1"/>
    <n v="28000"/>
    <x v="193"/>
    <n v="1400"/>
    <x v="10"/>
  </r>
  <r>
    <n v="1524"/>
    <d v="2025-03-26T00:00:00"/>
    <x v="6"/>
    <x v="1"/>
    <x v="2"/>
    <x v="2"/>
    <x v="19"/>
    <n v="9000"/>
    <x v="1"/>
    <n v="45000"/>
    <x v="396"/>
    <n v="2250"/>
    <x v="10"/>
  </r>
  <r>
    <n v="1525"/>
    <d v="2025-10-19T00:00:00"/>
    <x v="9"/>
    <x v="0"/>
    <x v="2"/>
    <x v="4"/>
    <x v="3"/>
    <n v="2500"/>
    <x v="6"/>
    <n v="45000"/>
    <x v="258"/>
    <n v="22500"/>
    <x v="3"/>
  </r>
  <r>
    <n v="1526"/>
    <d v="2025-12-27T00:00:00"/>
    <x v="4"/>
    <x v="0"/>
    <x v="0"/>
    <x v="5"/>
    <x v="18"/>
    <n v="14000"/>
    <x v="4"/>
    <n v="140000"/>
    <x v="397"/>
    <n v="16800"/>
    <x v="8"/>
  </r>
  <r>
    <n v="1527"/>
    <d v="2025-03-11T00:00:00"/>
    <x v="11"/>
    <x v="3"/>
    <x v="0"/>
    <x v="7"/>
    <x v="15"/>
    <n v="3500"/>
    <x v="5"/>
    <n v="49000"/>
    <x v="376"/>
    <n v="0"/>
    <x v="10"/>
  </r>
  <r>
    <n v="1528"/>
    <d v="2025-12-26T00:00:00"/>
    <x v="13"/>
    <x v="0"/>
    <x v="2"/>
    <x v="4"/>
    <x v="19"/>
    <n v="42000"/>
    <x v="1"/>
    <n v="210000"/>
    <x v="113"/>
    <n v="10500"/>
    <x v="8"/>
  </r>
  <r>
    <n v="1529"/>
    <d v="2025-05-07T00:00:00"/>
    <x v="11"/>
    <x v="3"/>
    <x v="2"/>
    <x v="6"/>
    <x v="11"/>
    <n v="3500"/>
    <x v="2"/>
    <n v="45500"/>
    <x v="398"/>
    <n v="4550"/>
    <x v="4"/>
  </r>
  <r>
    <n v="1530"/>
    <d v="2025-11-18T00:00:00"/>
    <x v="8"/>
    <x v="1"/>
    <x v="1"/>
    <x v="5"/>
    <x v="11"/>
    <n v="8500"/>
    <x v="2"/>
    <n v="110500"/>
    <x v="160"/>
    <n v="11050"/>
    <x v="0"/>
  </r>
  <r>
    <n v="1531"/>
    <d v="2025-07-26T00:00:00"/>
    <x v="5"/>
    <x v="1"/>
    <x v="0"/>
    <x v="3"/>
    <x v="7"/>
    <n v="11000"/>
    <x v="0"/>
    <n v="99000"/>
    <x v="369"/>
    <n v="14850"/>
    <x v="5"/>
  </r>
  <r>
    <n v="1532"/>
    <d v="2025-09-07T00:00:00"/>
    <x v="9"/>
    <x v="0"/>
    <x v="1"/>
    <x v="3"/>
    <x v="10"/>
    <n v="2500"/>
    <x v="5"/>
    <n v="47500"/>
    <x v="198"/>
    <n v="0"/>
    <x v="9"/>
  </r>
  <r>
    <n v="1533"/>
    <d v="2025-11-22T00:00:00"/>
    <x v="7"/>
    <x v="2"/>
    <x v="3"/>
    <x v="0"/>
    <x v="5"/>
    <n v="250"/>
    <x v="5"/>
    <n v="3000"/>
    <x v="399"/>
    <n v="0"/>
    <x v="0"/>
  </r>
  <r>
    <n v="1534"/>
    <d v="2025-08-08T00:00:00"/>
    <x v="13"/>
    <x v="0"/>
    <x v="0"/>
    <x v="4"/>
    <x v="4"/>
    <n v="42000"/>
    <x v="2"/>
    <n v="294000"/>
    <x v="400"/>
    <n v="29400"/>
    <x v="6"/>
  </r>
  <r>
    <n v="1535"/>
    <d v="2025-05-26T00:00:00"/>
    <x v="9"/>
    <x v="0"/>
    <x v="2"/>
    <x v="3"/>
    <x v="3"/>
    <n v="2500"/>
    <x v="4"/>
    <n v="45000"/>
    <x v="7"/>
    <n v="5400"/>
    <x v="4"/>
  </r>
  <r>
    <n v="1536"/>
    <d v="2025-06-25T00:00:00"/>
    <x v="12"/>
    <x v="3"/>
    <x v="1"/>
    <x v="3"/>
    <x v="9"/>
    <n v="1800"/>
    <x v="5"/>
    <n v="3600"/>
    <x v="401"/>
    <n v="0"/>
    <x v="11"/>
  </r>
  <r>
    <n v="1537"/>
    <d v="2025-01-09T00:00:00"/>
    <x v="0"/>
    <x v="0"/>
    <x v="3"/>
    <x v="2"/>
    <x v="8"/>
    <n v="18000"/>
    <x v="2"/>
    <n v="108000"/>
    <x v="367"/>
    <n v="10800"/>
    <x v="2"/>
  </r>
  <r>
    <n v="1538"/>
    <d v="2025-08-08T00:00:00"/>
    <x v="3"/>
    <x v="0"/>
    <x v="0"/>
    <x v="7"/>
    <x v="19"/>
    <n v="800"/>
    <x v="0"/>
    <n v="4000"/>
    <x v="85"/>
    <n v="600"/>
    <x v="6"/>
  </r>
  <r>
    <n v="1539"/>
    <d v="2025-05-21T00:00:00"/>
    <x v="0"/>
    <x v="0"/>
    <x v="1"/>
    <x v="4"/>
    <x v="5"/>
    <n v="18000"/>
    <x v="3"/>
    <n v="216000"/>
    <x v="6"/>
    <n v="17280"/>
    <x v="4"/>
  </r>
  <r>
    <n v="1540"/>
    <d v="2025-12-07T00:00:00"/>
    <x v="12"/>
    <x v="3"/>
    <x v="3"/>
    <x v="6"/>
    <x v="8"/>
    <n v="1800"/>
    <x v="5"/>
    <n v="10800"/>
    <x v="227"/>
    <n v="0"/>
    <x v="8"/>
  </r>
  <r>
    <n v="1541"/>
    <d v="2025-12-25T00:00:00"/>
    <x v="11"/>
    <x v="3"/>
    <x v="1"/>
    <x v="5"/>
    <x v="6"/>
    <n v="3500"/>
    <x v="2"/>
    <n v="28000"/>
    <x v="402"/>
    <n v="2800"/>
    <x v="8"/>
  </r>
  <r>
    <n v="1542"/>
    <d v="2025-01-01T00:00:00"/>
    <x v="3"/>
    <x v="0"/>
    <x v="2"/>
    <x v="0"/>
    <x v="14"/>
    <n v="800"/>
    <x v="5"/>
    <n v="12800"/>
    <x v="403"/>
    <n v="0"/>
    <x v="2"/>
  </r>
  <r>
    <n v="1543"/>
    <d v="2025-09-23T00:00:00"/>
    <x v="7"/>
    <x v="2"/>
    <x v="1"/>
    <x v="4"/>
    <x v="17"/>
    <n v="250"/>
    <x v="5"/>
    <n v="3750"/>
    <x v="404"/>
    <n v="0"/>
    <x v="9"/>
  </r>
  <r>
    <n v="1544"/>
    <d v="2025-03-03T00:00:00"/>
    <x v="13"/>
    <x v="0"/>
    <x v="2"/>
    <x v="3"/>
    <x v="15"/>
    <n v="42000"/>
    <x v="0"/>
    <n v="588000"/>
    <x v="405"/>
    <n v="88200"/>
    <x v="10"/>
  </r>
  <r>
    <n v="1545"/>
    <d v="2025-02-06T00:00:00"/>
    <x v="3"/>
    <x v="0"/>
    <x v="1"/>
    <x v="5"/>
    <x v="11"/>
    <n v="800"/>
    <x v="5"/>
    <n v="10400"/>
    <x v="406"/>
    <n v="0"/>
    <x v="7"/>
  </r>
  <r>
    <n v="1546"/>
    <d v="2025-06-10T00:00:00"/>
    <x v="9"/>
    <x v="0"/>
    <x v="3"/>
    <x v="7"/>
    <x v="18"/>
    <n v="2500"/>
    <x v="1"/>
    <n v="25000"/>
    <x v="233"/>
    <n v="1250"/>
    <x v="11"/>
  </r>
  <r>
    <n v="1547"/>
    <d v="2025-11-25T00:00:00"/>
    <x v="7"/>
    <x v="2"/>
    <x v="1"/>
    <x v="7"/>
    <x v="19"/>
    <n v="250"/>
    <x v="5"/>
    <n v="1250"/>
    <x v="407"/>
    <n v="0"/>
    <x v="0"/>
  </r>
  <r>
    <n v="1548"/>
    <d v="2025-08-14T00:00:00"/>
    <x v="9"/>
    <x v="0"/>
    <x v="2"/>
    <x v="1"/>
    <x v="4"/>
    <n v="2500"/>
    <x v="0"/>
    <n v="17500"/>
    <x v="11"/>
    <n v="2625"/>
    <x v="6"/>
  </r>
  <r>
    <n v="1549"/>
    <d v="2025-11-12T00:00:00"/>
    <x v="7"/>
    <x v="2"/>
    <x v="1"/>
    <x v="5"/>
    <x v="17"/>
    <n v="250"/>
    <x v="1"/>
    <n v="3750"/>
    <x v="408"/>
    <n v="187.5"/>
    <x v="0"/>
  </r>
  <r>
    <n v="1550"/>
    <d v="2025-03-13T00:00:00"/>
    <x v="11"/>
    <x v="3"/>
    <x v="3"/>
    <x v="4"/>
    <x v="1"/>
    <n v="3500"/>
    <x v="4"/>
    <n v="14000"/>
    <x v="409"/>
    <n v="1680"/>
    <x v="10"/>
  </r>
  <r>
    <n v="1551"/>
    <d v="2025-08-08T00:00:00"/>
    <x v="9"/>
    <x v="0"/>
    <x v="0"/>
    <x v="5"/>
    <x v="19"/>
    <n v="2500"/>
    <x v="1"/>
    <n v="12500"/>
    <x v="219"/>
    <n v="625"/>
    <x v="6"/>
  </r>
  <r>
    <n v="1552"/>
    <d v="2025-05-08T00:00:00"/>
    <x v="5"/>
    <x v="1"/>
    <x v="0"/>
    <x v="2"/>
    <x v="12"/>
    <n v="11000"/>
    <x v="4"/>
    <n v="220000"/>
    <x v="410"/>
    <n v="26400"/>
    <x v="4"/>
  </r>
  <r>
    <n v="1553"/>
    <d v="2025-12-04T00:00:00"/>
    <x v="12"/>
    <x v="3"/>
    <x v="2"/>
    <x v="1"/>
    <x v="18"/>
    <n v="1800"/>
    <x v="1"/>
    <n v="18000"/>
    <x v="411"/>
    <n v="900"/>
    <x v="8"/>
  </r>
  <r>
    <n v="1554"/>
    <d v="2025-06-01T00:00:00"/>
    <x v="7"/>
    <x v="2"/>
    <x v="3"/>
    <x v="1"/>
    <x v="9"/>
    <n v="250"/>
    <x v="1"/>
    <n v="500"/>
    <x v="128"/>
    <n v="25"/>
    <x v="11"/>
  </r>
  <r>
    <n v="1555"/>
    <d v="2025-02-27T00:00:00"/>
    <x v="3"/>
    <x v="0"/>
    <x v="1"/>
    <x v="2"/>
    <x v="14"/>
    <n v="800"/>
    <x v="0"/>
    <n v="12800"/>
    <x v="412"/>
    <n v="1920"/>
    <x v="7"/>
  </r>
  <r>
    <n v="1556"/>
    <d v="2025-07-04T00:00:00"/>
    <x v="12"/>
    <x v="3"/>
    <x v="3"/>
    <x v="1"/>
    <x v="16"/>
    <n v="1800"/>
    <x v="1"/>
    <n v="19800"/>
    <x v="154"/>
    <n v="990"/>
    <x v="5"/>
  </r>
  <r>
    <n v="1557"/>
    <d v="2025-07-07T00:00:00"/>
    <x v="5"/>
    <x v="1"/>
    <x v="1"/>
    <x v="2"/>
    <x v="8"/>
    <n v="11000"/>
    <x v="2"/>
    <n v="66000"/>
    <x v="413"/>
    <n v="6600"/>
    <x v="5"/>
  </r>
  <r>
    <n v="1558"/>
    <d v="2025-10-28T00:00:00"/>
    <x v="0"/>
    <x v="0"/>
    <x v="2"/>
    <x v="2"/>
    <x v="0"/>
    <n v="18000"/>
    <x v="3"/>
    <n v="18000"/>
    <x v="173"/>
    <n v="1440"/>
    <x v="3"/>
  </r>
  <r>
    <n v="1559"/>
    <d v="2025-01-31T00:00:00"/>
    <x v="11"/>
    <x v="3"/>
    <x v="0"/>
    <x v="1"/>
    <x v="11"/>
    <n v="3500"/>
    <x v="4"/>
    <n v="45500"/>
    <x v="414"/>
    <n v="5460"/>
    <x v="2"/>
  </r>
  <r>
    <n v="1560"/>
    <d v="2025-08-05T00:00:00"/>
    <x v="14"/>
    <x v="2"/>
    <x v="2"/>
    <x v="6"/>
    <x v="11"/>
    <n v="180"/>
    <x v="5"/>
    <n v="2340"/>
    <x v="415"/>
    <n v="0"/>
    <x v="6"/>
  </r>
  <r>
    <n v="1561"/>
    <d v="2025-02-12T00:00:00"/>
    <x v="4"/>
    <x v="0"/>
    <x v="2"/>
    <x v="7"/>
    <x v="2"/>
    <n v="14000"/>
    <x v="4"/>
    <n v="42000"/>
    <x v="126"/>
    <n v="5040"/>
    <x v="7"/>
  </r>
  <r>
    <n v="1562"/>
    <d v="2025-10-02T00:00:00"/>
    <x v="9"/>
    <x v="0"/>
    <x v="1"/>
    <x v="6"/>
    <x v="11"/>
    <n v="2500"/>
    <x v="4"/>
    <n v="32500"/>
    <x v="416"/>
    <n v="3900"/>
    <x v="3"/>
  </r>
  <r>
    <n v="1563"/>
    <d v="2025-12-24T00:00:00"/>
    <x v="8"/>
    <x v="1"/>
    <x v="2"/>
    <x v="5"/>
    <x v="6"/>
    <n v="8500"/>
    <x v="5"/>
    <n v="68000"/>
    <x v="358"/>
    <n v="0"/>
    <x v="8"/>
  </r>
  <r>
    <n v="1564"/>
    <d v="2025-08-11T00:00:00"/>
    <x v="0"/>
    <x v="0"/>
    <x v="1"/>
    <x v="6"/>
    <x v="17"/>
    <n v="18000"/>
    <x v="4"/>
    <n v="270000"/>
    <x v="417"/>
    <n v="32400"/>
    <x v="6"/>
  </r>
  <r>
    <n v="1565"/>
    <d v="2025-12-08T00:00:00"/>
    <x v="14"/>
    <x v="2"/>
    <x v="1"/>
    <x v="7"/>
    <x v="8"/>
    <n v="180"/>
    <x v="5"/>
    <n v="1080"/>
    <x v="418"/>
    <n v="0"/>
    <x v="8"/>
  </r>
  <r>
    <n v="1566"/>
    <d v="2025-12-26T00:00:00"/>
    <x v="2"/>
    <x v="0"/>
    <x v="0"/>
    <x v="6"/>
    <x v="8"/>
    <n v="55000"/>
    <x v="2"/>
    <n v="330000"/>
    <x v="140"/>
    <n v="33000"/>
    <x v="8"/>
  </r>
  <r>
    <n v="1567"/>
    <d v="2025-03-27T00:00:00"/>
    <x v="9"/>
    <x v="0"/>
    <x v="0"/>
    <x v="5"/>
    <x v="19"/>
    <n v="2500"/>
    <x v="0"/>
    <n v="12500"/>
    <x v="419"/>
    <n v="1875"/>
    <x v="10"/>
  </r>
  <r>
    <n v="1568"/>
    <d v="2025-01-16T00:00:00"/>
    <x v="9"/>
    <x v="0"/>
    <x v="1"/>
    <x v="6"/>
    <x v="15"/>
    <n v="2500"/>
    <x v="3"/>
    <n v="35000"/>
    <x v="142"/>
    <n v="2800"/>
    <x v="2"/>
  </r>
  <r>
    <n v="1569"/>
    <d v="2025-12-31T00:00:00"/>
    <x v="6"/>
    <x v="1"/>
    <x v="3"/>
    <x v="4"/>
    <x v="2"/>
    <n v="9000"/>
    <x v="2"/>
    <n v="27000"/>
    <x v="420"/>
    <n v="2700"/>
    <x v="8"/>
  </r>
  <r>
    <n v="1570"/>
    <d v="2025-01-29T00:00:00"/>
    <x v="10"/>
    <x v="1"/>
    <x v="0"/>
    <x v="7"/>
    <x v="10"/>
    <n v="15000"/>
    <x v="1"/>
    <n v="285000"/>
    <x v="421"/>
    <n v="14250"/>
    <x v="2"/>
  </r>
  <r>
    <n v="1571"/>
    <d v="2025-05-11T00:00:00"/>
    <x v="11"/>
    <x v="3"/>
    <x v="1"/>
    <x v="0"/>
    <x v="1"/>
    <n v="3500"/>
    <x v="4"/>
    <n v="14000"/>
    <x v="409"/>
    <n v="1680"/>
    <x v="4"/>
  </r>
  <r>
    <n v="1572"/>
    <d v="2025-09-18T00:00:00"/>
    <x v="2"/>
    <x v="0"/>
    <x v="2"/>
    <x v="2"/>
    <x v="9"/>
    <n v="55000"/>
    <x v="5"/>
    <n v="110000"/>
    <x v="422"/>
    <n v="0"/>
    <x v="9"/>
  </r>
  <r>
    <n v="1573"/>
    <d v="2025-08-30T00:00:00"/>
    <x v="9"/>
    <x v="0"/>
    <x v="2"/>
    <x v="2"/>
    <x v="11"/>
    <n v="2500"/>
    <x v="1"/>
    <n v="32500"/>
    <x v="423"/>
    <n v="1625"/>
    <x v="6"/>
  </r>
  <r>
    <n v="1574"/>
    <d v="2025-10-11T00:00:00"/>
    <x v="11"/>
    <x v="3"/>
    <x v="0"/>
    <x v="0"/>
    <x v="15"/>
    <n v="3500"/>
    <x v="1"/>
    <n v="49000"/>
    <x v="424"/>
    <n v="2450"/>
    <x v="3"/>
  </r>
  <r>
    <n v="1575"/>
    <d v="2025-08-02T00:00:00"/>
    <x v="12"/>
    <x v="3"/>
    <x v="1"/>
    <x v="4"/>
    <x v="16"/>
    <n v="1800"/>
    <x v="3"/>
    <n v="19800"/>
    <x v="425"/>
    <n v="1584"/>
    <x v="6"/>
  </r>
  <r>
    <n v="1576"/>
    <d v="2025-03-03T00:00:00"/>
    <x v="5"/>
    <x v="1"/>
    <x v="2"/>
    <x v="2"/>
    <x v="9"/>
    <n v="11000"/>
    <x v="1"/>
    <n v="22000"/>
    <x v="426"/>
    <n v="1100"/>
    <x v="10"/>
  </r>
  <r>
    <n v="1577"/>
    <d v="2025-07-25T00:00:00"/>
    <x v="0"/>
    <x v="0"/>
    <x v="0"/>
    <x v="4"/>
    <x v="17"/>
    <n v="18000"/>
    <x v="3"/>
    <n v="270000"/>
    <x v="427"/>
    <n v="21600"/>
    <x v="5"/>
  </r>
  <r>
    <n v="1578"/>
    <d v="2025-02-14T00:00:00"/>
    <x v="5"/>
    <x v="1"/>
    <x v="0"/>
    <x v="0"/>
    <x v="17"/>
    <n v="11000"/>
    <x v="5"/>
    <n v="165000"/>
    <x v="428"/>
    <n v="0"/>
    <x v="7"/>
  </r>
  <r>
    <n v="1579"/>
    <d v="2025-05-30T00:00:00"/>
    <x v="6"/>
    <x v="1"/>
    <x v="2"/>
    <x v="3"/>
    <x v="18"/>
    <n v="9000"/>
    <x v="0"/>
    <n v="90000"/>
    <x v="293"/>
    <n v="13500"/>
    <x v="4"/>
  </r>
  <r>
    <n v="1580"/>
    <d v="2025-07-08T00:00:00"/>
    <x v="6"/>
    <x v="1"/>
    <x v="2"/>
    <x v="7"/>
    <x v="14"/>
    <n v="9000"/>
    <x v="1"/>
    <n v="144000"/>
    <x v="429"/>
    <n v="7200"/>
    <x v="5"/>
  </r>
  <r>
    <n v="1581"/>
    <d v="2025-01-04T00:00:00"/>
    <x v="12"/>
    <x v="3"/>
    <x v="2"/>
    <x v="4"/>
    <x v="15"/>
    <n v="1800"/>
    <x v="5"/>
    <n v="25200"/>
    <x v="402"/>
    <n v="0"/>
    <x v="2"/>
  </r>
  <r>
    <n v="1582"/>
    <d v="2025-11-22T00:00:00"/>
    <x v="13"/>
    <x v="0"/>
    <x v="1"/>
    <x v="1"/>
    <x v="0"/>
    <n v="42000"/>
    <x v="3"/>
    <n v="42000"/>
    <x v="292"/>
    <n v="3360"/>
    <x v="0"/>
  </r>
  <r>
    <n v="1583"/>
    <d v="2025-06-07T00:00:00"/>
    <x v="0"/>
    <x v="0"/>
    <x v="2"/>
    <x v="1"/>
    <x v="4"/>
    <n v="18000"/>
    <x v="4"/>
    <n v="126000"/>
    <x v="430"/>
    <n v="15120"/>
    <x v="11"/>
  </r>
  <r>
    <n v="1584"/>
    <d v="2025-09-09T00:00:00"/>
    <x v="2"/>
    <x v="0"/>
    <x v="0"/>
    <x v="5"/>
    <x v="19"/>
    <n v="55000"/>
    <x v="0"/>
    <n v="275000"/>
    <x v="431"/>
    <n v="41250"/>
    <x v="9"/>
  </r>
  <r>
    <n v="1585"/>
    <d v="2025-01-23T00:00:00"/>
    <x v="12"/>
    <x v="3"/>
    <x v="3"/>
    <x v="4"/>
    <x v="6"/>
    <n v="1800"/>
    <x v="4"/>
    <n v="14400"/>
    <x v="365"/>
    <n v="1728"/>
    <x v="2"/>
  </r>
  <r>
    <n v="1586"/>
    <d v="2025-08-23T00:00:00"/>
    <x v="14"/>
    <x v="2"/>
    <x v="1"/>
    <x v="7"/>
    <x v="2"/>
    <n v="180"/>
    <x v="4"/>
    <n v="540"/>
    <x v="357"/>
    <n v="64.800000000000011"/>
    <x v="6"/>
  </r>
  <r>
    <n v="1587"/>
    <d v="2025-11-23T00:00:00"/>
    <x v="13"/>
    <x v="0"/>
    <x v="1"/>
    <x v="1"/>
    <x v="11"/>
    <n v="42000"/>
    <x v="5"/>
    <n v="546000"/>
    <x v="432"/>
    <n v="0"/>
    <x v="0"/>
  </r>
  <r>
    <n v="1588"/>
    <d v="2025-12-06T00:00:00"/>
    <x v="1"/>
    <x v="0"/>
    <x v="0"/>
    <x v="4"/>
    <x v="6"/>
    <n v="1200"/>
    <x v="3"/>
    <n v="9600"/>
    <x v="433"/>
    <n v="768"/>
    <x v="8"/>
  </r>
  <r>
    <n v="1589"/>
    <d v="2025-07-21T00:00:00"/>
    <x v="14"/>
    <x v="2"/>
    <x v="3"/>
    <x v="6"/>
    <x v="16"/>
    <n v="180"/>
    <x v="3"/>
    <n v="1980"/>
    <x v="434"/>
    <n v="158.39999999999986"/>
    <x v="5"/>
  </r>
  <r>
    <n v="1590"/>
    <d v="2025-04-30T00:00:00"/>
    <x v="0"/>
    <x v="0"/>
    <x v="1"/>
    <x v="7"/>
    <x v="4"/>
    <n v="18000"/>
    <x v="1"/>
    <n v="126000"/>
    <x v="263"/>
    <n v="6300"/>
    <x v="1"/>
  </r>
  <r>
    <n v="1591"/>
    <d v="2025-02-24T00:00:00"/>
    <x v="1"/>
    <x v="0"/>
    <x v="0"/>
    <x v="1"/>
    <x v="17"/>
    <n v="1200"/>
    <x v="2"/>
    <n v="18000"/>
    <x v="228"/>
    <n v="1800"/>
    <x v="7"/>
  </r>
  <r>
    <n v="1592"/>
    <d v="2025-03-03T00:00:00"/>
    <x v="5"/>
    <x v="1"/>
    <x v="3"/>
    <x v="6"/>
    <x v="5"/>
    <n v="11000"/>
    <x v="1"/>
    <n v="132000"/>
    <x v="435"/>
    <n v="6600"/>
    <x v="10"/>
  </r>
  <r>
    <n v="1593"/>
    <d v="2025-08-26T00:00:00"/>
    <x v="4"/>
    <x v="0"/>
    <x v="2"/>
    <x v="6"/>
    <x v="1"/>
    <n v="14000"/>
    <x v="5"/>
    <n v="56000"/>
    <x v="271"/>
    <n v="0"/>
    <x v="6"/>
  </r>
  <r>
    <n v="1594"/>
    <d v="2025-12-27T00:00:00"/>
    <x v="14"/>
    <x v="2"/>
    <x v="2"/>
    <x v="4"/>
    <x v="12"/>
    <n v="180"/>
    <x v="5"/>
    <n v="3600"/>
    <x v="401"/>
    <n v="0"/>
    <x v="8"/>
  </r>
  <r>
    <n v="1595"/>
    <d v="2025-03-17T00:00:00"/>
    <x v="0"/>
    <x v="0"/>
    <x v="3"/>
    <x v="2"/>
    <x v="6"/>
    <n v="18000"/>
    <x v="3"/>
    <n v="144000"/>
    <x v="284"/>
    <n v="11520"/>
    <x v="10"/>
  </r>
  <r>
    <n v="1596"/>
    <d v="2025-12-13T00:00:00"/>
    <x v="4"/>
    <x v="0"/>
    <x v="1"/>
    <x v="1"/>
    <x v="7"/>
    <n v="14000"/>
    <x v="1"/>
    <n v="126000"/>
    <x v="263"/>
    <n v="6300"/>
    <x v="8"/>
  </r>
  <r>
    <n v="1597"/>
    <d v="2025-08-20T00:00:00"/>
    <x v="5"/>
    <x v="1"/>
    <x v="1"/>
    <x v="3"/>
    <x v="3"/>
    <n v="11000"/>
    <x v="1"/>
    <n v="198000"/>
    <x v="436"/>
    <n v="9900"/>
    <x v="6"/>
  </r>
  <r>
    <n v="1598"/>
    <d v="2025-02-22T00:00:00"/>
    <x v="11"/>
    <x v="3"/>
    <x v="1"/>
    <x v="2"/>
    <x v="19"/>
    <n v="3500"/>
    <x v="5"/>
    <n v="17500"/>
    <x v="306"/>
    <n v="0"/>
    <x v="7"/>
  </r>
  <r>
    <n v="1599"/>
    <d v="2025-04-24T00:00:00"/>
    <x v="1"/>
    <x v="0"/>
    <x v="0"/>
    <x v="5"/>
    <x v="4"/>
    <n v="1200"/>
    <x v="2"/>
    <n v="8400"/>
    <x v="437"/>
    <n v="840"/>
    <x v="1"/>
  </r>
  <r>
    <n v="1600"/>
    <d v="2026-12-15T00:00:00"/>
    <x v="6"/>
    <x v="1"/>
    <x v="1"/>
    <x v="5"/>
    <x v="7"/>
    <n v="9000"/>
    <x v="5"/>
    <n v="81000"/>
    <x v="438"/>
    <n v="0"/>
    <x v="8"/>
  </r>
  <r>
    <n v="1601"/>
    <d v="2025-04-12T00:00:00"/>
    <x v="12"/>
    <x v="3"/>
    <x v="1"/>
    <x v="4"/>
    <x v="17"/>
    <n v="1800"/>
    <x v="1"/>
    <n v="27000"/>
    <x v="439"/>
    <n v="1350"/>
    <x v="1"/>
  </r>
  <r>
    <n v="1602"/>
    <d v="2025-03-04T00:00:00"/>
    <x v="2"/>
    <x v="0"/>
    <x v="2"/>
    <x v="1"/>
    <x v="17"/>
    <n v="55000"/>
    <x v="5"/>
    <n v="825000"/>
    <x v="440"/>
    <n v="0"/>
    <x v="10"/>
  </r>
  <r>
    <n v="1603"/>
    <d v="2025-07-22T00:00:00"/>
    <x v="10"/>
    <x v="1"/>
    <x v="3"/>
    <x v="7"/>
    <x v="0"/>
    <n v="15000"/>
    <x v="2"/>
    <n v="15000"/>
    <x v="370"/>
    <n v="1500"/>
    <x v="5"/>
  </r>
  <r>
    <n v="1604"/>
    <d v="2025-07-01T00:00:00"/>
    <x v="3"/>
    <x v="0"/>
    <x v="0"/>
    <x v="3"/>
    <x v="8"/>
    <n v="800"/>
    <x v="3"/>
    <n v="4800"/>
    <x v="441"/>
    <n v="384"/>
    <x v="5"/>
  </r>
  <r>
    <n v="1605"/>
    <d v="2025-03-18T00:00:00"/>
    <x v="2"/>
    <x v="0"/>
    <x v="2"/>
    <x v="6"/>
    <x v="12"/>
    <n v="55000"/>
    <x v="4"/>
    <n v="1100000"/>
    <x v="442"/>
    <n v="132000"/>
    <x v="10"/>
  </r>
  <r>
    <n v="1606"/>
    <d v="2025-09-13T00:00:00"/>
    <x v="8"/>
    <x v="1"/>
    <x v="1"/>
    <x v="5"/>
    <x v="3"/>
    <n v="8500"/>
    <x v="2"/>
    <n v="153000"/>
    <x v="224"/>
    <n v="15300"/>
    <x v="9"/>
  </r>
  <r>
    <n v="1607"/>
    <d v="2025-05-24T00:00:00"/>
    <x v="8"/>
    <x v="1"/>
    <x v="2"/>
    <x v="0"/>
    <x v="19"/>
    <n v="8500"/>
    <x v="2"/>
    <n v="42500"/>
    <x v="300"/>
    <n v="4250"/>
    <x v="4"/>
  </r>
  <r>
    <n v="1608"/>
    <d v="2025-11-19T00:00:00"/>
    <x v="11"/>
    <x v="3"/>
    <x v="3"/>
    <x v="4"/>
    <x v="3"/>
    <n v="3500"/>
    <x v="5"/>
    <n v="63000"/>
    <x v="362"/>
    <n v="0"/>
    <x v="0"/>
  </r>
  <r>
    <n v="1609"/>
    <d v="2025-09-03T00:00:00"/>
    <x v="5"/>
    <x v="1"/>
    <x v="0"/>
    <x v="1"/>
    <x v="14"/>
    <n v="11000"/>
    <x v="3"/>
    <n v="176000"/>
    <x v="153"/>
    <n v="14080"/>
    <x v="9"/>
  </r>
  <r>
    <n v="1610"/>
    <d v="2025-05-19T00:00:00"/>
    <x v="1"/>
    <x v="0"/>
    <x v="2"/>
    <x v="2"/>
    <x v="0"/>
    <n v="1200"/>
    <x v="3"/>
    <n v="1200"/>
    <x v="443"/>
    <n v="96"/>
    <x v="4"/>
  </r>
  <r>
    <n v="1611"/>
    <d v="2025-05-24T00:00:00"/>
    <x v="2"/>
    <x v="0"/>
    <x v="0"/>
    <x v="0"/>
    <x v="14"/>
    <n v="55000"/>
    <x v="4"/>
    <n v="880000"/>
    <x v="444"/>
    <n v="105600"/>
    <x v="4"/>
  </r>
  <r>
    <n v="1612"/>
    <d v="2025-03-23T00:00:00"/>
    <x v="0"/>
    <x v="0"/>
    <x v="2"/>
    <x v="6"/>
    <x v="6"/>
    <n v="18000"/>
    <x v="0"/>
    <n v="144000"/>
    <x v="42"/>
    <n v="21600"/>
    <x v="10"/>
  </r>
  <r>
    <n v="1613"/>
    <d v="2025-10-01T00:00:00"/>
    <x v="13"/>
    <x v="0"/>
    <x v="3"/>
    <x v="4"/>
    <x v="9"/>
    <n v="42000"/>
    <x v="1"/>
    <n v="84000"/>
    <x v="445"/>
    <n v="4200"/>
    <x v="3"/>
  </r>
  <r>
    <n v="1614"/>
    <d v="2025-03-30T00:00:00"/>
    <x v="1"/>
    <x v="0"/>
    <x v="0"/>
    <x v="4"/>
    <x v="6"/>
    <n v="1200"/>
    <x v="4"/>
    <n v="9600"/>
    <x v="446"/>
    <n v="1152"/>
    <x v="10"/>
  </r>
  <r>
    <n v="1615"/>
    <d v="2025-10-30T00:00:00"/>
    <x v="2"/>
    <x v="0"/>
    <x v="2"/>
    <x v="0"/>
    <x v="5"/>
    <n v="55000"/>
    <x v="4"/>
    <n v="660000"/>
    <x v="264"/>
    <n v="79200"/>
    <x v="3"/>
  </r>
  <r>
    <n v="1616"/>
    <d v="2025-09-10T00:00:00"/>
    <x v="5"/>
    <x v="1"/>
    <x v="3"/>
    <x v="2"/>
    <x v="18"/>
    <n v="11000"/>
    <x v="1"/>
    <n v="110000"/>
    <x v="447"/>
    <n v="5500"/>
    <x v="9"/>
  </r>
  <r>
    <n v="1617"/>
    <d v="2025-02-16T00:00:00"/>
    <x v="2"/>
    <x v="0"/>
    <x v="2"/>
    <x v="2"/>
    <x v="6"/>
    <n v="55000"/>
    <x v="4"/>
    <n v="440000"/>
    <x v="448"/>
    <n v="52800"/>
    <x v="7"/>
  </r>
  <r>
    <n v="1618"/>
    <d v="2025-09-27T00:00:00"/>
    <x v="10"/>
    <x v="1"/>
    <x v="2"/>
    <x v="7"/>
    <x v="0"/>
    <n v="15000"/>
    <x v="3"/>
    <n v="15000"/>
    <x v="449"/>
    <n v="1200"/>
    <x v="9"/>
  </r>
  <r>
    <n v="1619"/>
    <d v="2025-06-24T00:00:00"/>
    <x v="14"/>
    <x v="2"/>
    <x v="1"/>
    <x v="2"/>
    <x v="8"/>
    <n v="180"/>
    <x v="3"/>
    <n v="1080"/>
    <x v="450"/>
    <n v="86.399999999999977"/>
    <x v="11"/>
  </r>
  <r>
    <n v="1620"/>
    <d v="2025-03-17T00:00:00"/>
    <x v="6"/>
    <x v="1"/>
    <x v="0"/>
    <x v="5"/>
    <x v="19"/>
    <n v="9000"/>
    <x v="5"/>
    <n v="45000"/>
    <x v="451"/>
    <n v="0"/>
    <x v="10"/>
  </r>
  <r>
    <n v="1621"/>
    <d v="2025-07-11T00:00:00"/>
    <x v="14"/>
    <x v="2"/>
    <x v="1"/>
    <x v="4"/>
    <x v="11"/>
    <n v="180"/>
    <x v="4"/>
    <n v="2340"/>
    <x v="452"/>
    <n v="280.80000000000018"/>
    <x v="5"/>
  </r>
  <r>
    <n v="1622"/>
    <d v="2025-06-04T00:00:00"/>
    <x v="9"/>
    <x v="0"/>
    <x v="3"/>
    <x v="3"/>
    <x v="19"/>
    <n v="2500"/>
    <x v="1"/>
    <n v="12500"/>
    <x v="219"/>
    <n v="625"/>
    <x v="11"/>
  </r>
  <r>
    <n v="1623"/>
    <d v="2025-11-29T00:00:00"/>
    <x v="9"/>
    <x v="0"/>
    <x v="0"/>
    <x v="0"/>
    <x v="8"/>
    <n v="2500"/>
    <x v="0"/>
    <n v="15000"/>
    <x v="100"/>
    <n v="2250"/>
    <x v="0"/>
  </r>
  <r>
    <n v="1624"/>
    <d v="2025-12-07T00:00:00"/>
    <x v="6"/>
    <x v="1"/>
    <x v="0"/>
    <x v="6"/>
    <x v="8"/>
    <n v="9000"/>
    <x v="2"/>
    <n v="54000"/>
    <x v="127"/>
    <n v="5400"/>
    <x v="8"/>
  </r>
  <r>
    <n v="1625"/>
    <d v="2025-03-07T00:00:00"/>
    <x v="1"/>
    <x v="0"/>
    <x v="3"/>
    <x v="2"/>
    <x v="0"/>
    <n v="1200"/>
    <x v="0"/>
    <n v="1200"/>
    <x v="453"/>
    <n v="180"/>
    <x v="10"/>
  </r>
  <r>
    <n v="1626"/>
    <d v="2025-04-04T00:00:00"/>
    <x v="6"/>
    <x v="1"/>
    <x v="2"/>
    <x v="5"/>
    <x v="16"/>
    <n v="9000"/>
    <x v="4"/>
    <n v="99000"/>
    <x v="349"/>
    <n v="11880"/>
    <x v="1"/>
  </r>
  <r>
    <n v="1627"/>
    <d v="2025-09-12T00:00:00"/>
    <x v="1"/>
    <x v="0"/>
    <x v="1"/>
    <x v="0"/>
    <x v="16"/>
    <n v="1200"/>
    <x v="0"/>
    <n v="13200"/>
    <x v="454"/>
    <n v="1980"/>
    <x v="9"/>
  </r>
  <r>
    <n v="1628"/>
    <d v="2025-06-27T00:00:00"/>
    <x v="9"/>
    <x v="0"/>
    <x v="1"/>
    <x v="4"/>
    <x v="8"/>
    <n v="2500"/>
    <x v="0"/>
    <n v="15000"/>
    <x v="100"/>
    <n v="2250"/>
    <x v="11"/>
  </r>
  <r>
    <n v="1629"/>
    <d v="2025-08-17T00:00:00"/>
    <x v="2"/>
    <x v="0"/>
    <x v="2"/>
    <x v="5"/>
    <x v="7"/>
    <n v="55000"/>
    <x v="1"/>
    <n v="495000"/>
    <x v="455"/>
    <n v="24750"/>
    <x v="6"/>
  </r>
  <r>
    <n v="1630"/>
    <d v="2025-06-29T00:00:00"/>
    <x v="4"/>
    <x v="0"/>
    <x v="1"/>
    <x v="2"/>
    <x v="1"/>
    <n v="14000"/>
    <x v="0"/>
    <n v="56000"/>
    <x v="456"/>
    <n v="8400"/>
    <x v="11"/>
  </r>
  <r>
    <n v="1631"/>
    <d v="2025-07-17T00:00:00"/>
    <x v="10"/>
    <x v="1"/>
    <x v="3"/>
    <x v="3"/>
    <x v="15"/>
    <n v="15000"/>
    <x v="1"/>
    <n v="210000"/>
    <x v="113"/>
    <n v="10500"/>
    <x v="5"/>
  </r>
  <r>
    <n v="1632"/>
    <d v="2025-07-13T00:00:00"/>
    <x v="9"/>
    <x v="0"/>
    <x v="1"/>
    <x v="3"/>
    <x v="3"/>
    <n v="2500"/>
    <x v="2"/>
    <n v="45000"/>
    <x v="457"/>
    <n v="4500"/>
    <x v="5"/>
  </r>
  <r>
    <n v="1633"/>
    <d v="2025-10-23T00:00:00"/>
    <x v="7"/>
    <x v="2"/>
    <x v="3"/>
    <x v="5"/>
    <x v="6"/>
    <n v="250"/>
    <x v="1"/>
    <n v="2000"/>
    <x v="458"/>
    <n v="100"/>
    <x v="3"/>
  </r>
  <r>
    <n v="1634"/>
    <d v="2025-01-18T00:00:00"/>
    <x v="4"/>
    <x v="0"/>
    <x v="0"/>
    <x v="5"/>
    <x v="0"/>
    <n v="14000"/>
    <x v="3"/>
    <n v="14000"/>
    <x v="459"/>
    <n v="1120"/>
    <x v="2"/>
  </r>
  <r>
    <n v="1635"/>
    <d v="2025-02-07T00:00:00"/>
    <x v="9"/>
    <x v="0"/>
    <x v="2"/>
    <x v="5"/>
    <x v="8"/>
    <n v="2500"/>
    <x v="2"/>
    <n v="15000"/>
    <x v="370"/>
    <n v="1500"/>
    <x v="7"/>
  </r>
  <r>
    <n v="1636"/>
    <d v="2025-10-08T00:00:00"/>
    <x v="12"/>
    <x v="3"/>
    <x v="3"/>
    <x v="2"/>
    <x v="2"/>
    <n v="1800"/>
    <x v="3"/>
    <n v="5400"/>
    <x v="460"/>
    <n v="432"/>
    <x v="3"/>
  </r>
  <r>
    <n v="1637"/>
    <d v="2025-08-09T00:00:00"/>
    <x v="7"/>
    <x v="2"/>
    <x v="3"/>
    <x v="7"/>
    <x v="8"/>
    <n v="250"/>
    <x v="4"/>
    <n v="1500"/>
    <x v="12"/>
    <n v="180"/>
    <x v="6"/>
  </r>
  <r>
    <n v="1638"/>
    <d v="2025-01-28T00:00:00"/>
    <x v="0"/>
    <x v="0"/>
    <x v="2"/>
    <x v="1"/>
    <x v="16"/>
    <n v="18000"/>
    <x v="1"/>
    <n v="198000"/>
    <x v="436"/>
    <n v="9900"/>
    <x v="2"/>
  </r>
  <r>
    <n v="1639"/>
    <d v="2025-12-23T00:00:00"/>
    <x v="5"/>
    <x v="1"/>
    <x v="0"/>
    <x v="6"/>
    <x v="3"/>
    <n v="11000"/>
    <x v="3"/>
    <n v="198000"/>
    <x v="461"/>
    <n v="15840"/>
    <x v="8"/>
  </r>
  <r>
    <n v="1640"/>
    <d v="2025-05-02T00:00:00"/>
    <x v="0"/>
    <x v="0"/>
    <x v="3"/>
    <x v="7"/>
    <x v="9"/>
    <n v="18000"/>
    <x v="2"/>
    <n v="36000"/>
    <x v="462"/>
    <n v="3600"/>
    <x v="4"/>
  </r>
  <r>
    <n v="1641"/>
    <d v="2025-01-28T00:00:00"/>
    <x v="9"/>
    <x v="0"/>
    <x v="1"/>
    <x v="6"/>
    <x v="0"/>
    <n v="2500"/>
    <x v="2"/>
    <n v="2500"/>
    <x v="51"/>
    <n v="250"/>
    <x v="2"/>
  </r>
  <r>
    <n v="1642"/>
    <d v="2025-12-05T00:00:00"/>
    <x v="7"/>
    <x v="2"/>
    <x v="2"/>
    <x v="5"/>
    <x v="12"/>
    <n v="250"/>
    <x v="2"/>
    <n v="5000"/>
    <x v="41"/>
    <n v="500"/>
    <x v="8"/>
  </r>
  <r>
    <n v="1643"/>
    <d v="2025-01-14T00:00:00"/>
    <x v="3"/>
    <x v="0"/>
    <x v="0"/>
    <x v="5"/>
    <x v="8"/>
    <n v="800"/>
    <x v="0"/>
    <n v="4800"/>
    <x v="1"/>
    <n v="720"/>
    <x v="2"/>
  </r>
  <r>
    <n v="1644"/>
    <d v="2025-08-31T00:00:00"/>
    <x v="13"/>
    <x v="0"/>
    <x v="3"/>
    <x v="3"/>
    <x v="1"/>
    <n v="42000"/>
    <x v="3"/>
    <n v="168000"/>
    <x v="164"/>
    <n v="13440"/>
    <x v="6"/>
  </r>
  <r>
    <n v="1645"/>
    <d v="2025-09-08T00:00:00"/>
    <x v="12"/>
    <x v="3"/>
    <x v="3"/>
    <x v="7"/>
    <x v="7"/>
    <n v="1800"/>
    <x v="5"/>
    <n v="16200"/>
    <x v="228"/>
    <n v="0"/>
    <x v="9"/>
  </r>
  <r>
    <n v="1646"/>
    <d v="2025-07-09T00:00:00"/>
    <x v="12"/>
    <x v="3"/>
    <x v="2"/>
    <x v="3"/>
    <x v="11"/>
    <n v="1800"/>
    <x v="3"/>
    <n v="23400"/>
    <x v="463"/>
    <n v="1872"/>
    <x v="5"/>
  </r>
  <r>
    <n v="1647"/>
    <d v="2025-01-23T00:00:00"/>
    <x v="4"/>
    <x v="0"/>
    <x v="0"/>
    <x v="0"/>
    <x v="17"/>
    <n v="14000"/>
    <x v="2"/>
    <n v="210000"/>
    <x v="334"/>
    <n v="21000"/>
    <x v="2"/>
  </r>
  <r>
    <n v="1648"/>
    <d v="2025-05-18T00:00:00"/>
    <x v="6"/>
    <x v="1"/>
    <x v="1"/>
    <x v="5"/>
    <x v="9"/>
    <n v="9000"/>
    <x v="1"/>
    <n v="18000"/>
    <x v="411"/>
    <n v="900"/>
    <x v="4"/>
  </r>
  <r>
    <n v="1649"/>
    <d v="2025-12-09T00:00:00"/>
    <x v="9"/>
    <x v="0"/>
    <x v="2"/>
    <x v="2"/>
    <x v="3"/>
    <n v="2500"/>
    <x v="2"/>
    <n v="45000"/>
    <x v="457"/>
    <n v="4500"/>
    <x v="8"/>
  </r>
  <r>
    <n v="1650"/>
    <d v="2025-07-18T00:00:00"/>
    <x v="13"/>
    <x v="0"/>
    <x v="3"/>
    <x v="0"/>
    <x v="13"/>
    <n v="42000"/>
    <x v="2"/>
    <n v="714000"/>
    <x v="55"/>
    <n v="71400"/>
    <x v="5"/>
  </r>
  <r>
    <n v="1651"/>
    <d v="2025-09-01T00:00:00"/>
    <x v="4"/>
    <x v="0"/>
    <x v="1"/>
    <x v="7"/>
    <x v="2"/>
    <n v="14000"/>
    <x v="2"/>
    <n v="42000"/>
    <x v="286"/>
    <n v="4200"/>
    <x v="9"/>
  </r>
  <r>
    <n v="1652"/>
    <d v="2025-03-03T00:00:00"/>
    <x v="11"/>
    <x v="3"/>
    <x v="2"/>
    <x v="0"/>
    <x v="17"/>
    <n v="3500"/>
    <x v="1"/>
    <n v="52500"/>
    <x v="464"/>
    <n v="2625"/>
    <x v="10"/>
  </r>
  <r>
    <n v="1653"/>
    <d v="2025-04-09T00:00:00"/>
    <x v="1"/>
    <x v="0"/>
    <x v="1"/>
    <x v="1"/>
    <x v="9"/>
    <n v="1200"/>
    <x v="2"/>
    <n v="2400"/>
    <x v="465"/>
    <n v="240"/>
    <x v="1"/>
  </r>
  <r>
    <n v="1654"/>
    <d v="2025-04-14T00:00:00"/>
    <x v="13"/>
    <x v="0"/>
    <x v="0"/>
    <x v="4"/>
    <x v="19"/>
    <n v="42000"/>
    <x v="4"/>
    <n v="210000"/>
    <x v="247"/>
    <n v="25200"/>
    <x v="1"/>
  </r>
  <r>
    <n v="1655"/>
    <d v="2025-02-04T00:00:00"/>
    <x v="0"/>
    <x v="0"/>
    <x v="3"/>
    <x v="4"/>
    <x v="11"/>
    <n v="18000"/>
    <x v="4"/>
    <n v="234000"/>
    <x v="466"/>
    <n v="28080"/>
    <x v="7"/>
  </r>
  <r>
    <n v="1656"/>
    <d v="2025-05-22T00:00:00"/>
    <x v="5"/>
    <x v="1"/>
    <x v="3"/>
    <x v="5"/>
    <x v="17"/>
    <n v="11000"/>
    <x v="5"/>
    <n v="165000"/>
    <x v="428"/>
    <n v="0"/>
    <x v="4"/>
  </r>
  <r>
    <n v="1657"/>
    <d v="2025-08-01T00:00:00"/>
    <x v="1"/>
    <x v="0"/>
    <x v="1"/>
    <x v="5"/>
    <x v="19"/>
    <n v="1200"/>
    <x v="4"/>
    <n v="6000"/>
    <x v="467"/>
    <n v="720"/>
    <x v="6"/>
  </r>
  <r>
    <n v="1658"/>
    <d v="2025-10-16T00:00:00"/>
    <x v="11"/>
    <x v="3"/>
    <x v="0"/>
    <x v="1"/>
    <x v="1"/>
    <n v="3500"/>
    <x v="3"/>
    <n v="14000"/>
    <x v="459"/>
    <n v="1120"/>
    <x v="3"/>
  </r>
  <r>
    <n v="1659"/>
    <d v="2025-05-16T00:00:00"/>
    <x v="8"/>
    <x v="1"/>
    <x v="3"/>
    <x v="2"/>
    <x v="14"/>
    <n v="8500"/>
    <x v="4"/>
    <n v="136000"/>
    <x v="272"/>
    <n v="16320"/>
    <x v="4"/>
  </r>
  <r>
    <n v="1660"/>
    <d v="2025-03-30T00:00:00"/>
    <x v="4"/>
    <x v="0"/>
    <x v="3"/>
    <x v="2"/>
    <x v="11"/>
    <n v="14000"/>
    <x v="1"/>
    <n v="182000"/>
    <x v="468"/>
    <n v="9100"/>
    <x v="10"/>
  </r>
  <r>
    <n v="1661"/>
    <d v="2025-07-22T00:00:00"/>
    <x v="12"/>
    <x v="3"/>
    <x v="2"/>
    <x v="2"/>
    <x v="16"/>
    <n v="1800"/>
    <x v="0"/>
    <n v="19800"/>
    <x v="469"/>
    <n v="2970"/>
    <x v="5"/>
  </r>
  <r>
    <n v="1662"/>
    <d v="2025-09-01T00:00:00"/>
    <x v="12"/>
    <x v="3"/>
    <x v="1"/>
    <x v="4"/>
    <x v="7"/>
    <n v="1800"/>
    <x v="3"/>
    <n v="16200"/>
    <x v="470"/>
    <n v="1296"/>
    <x v="9"/>
  </r>
  <r>
    <n v="1663"/>
    <d v="2025-06-05T00:00:00"/>
    <x v="4"/>
    <x v="0"/>
    <x v="1"/>
    <x v="0"/>
    <x v="7"/>
    <n v="14000"/>
    <x v="2"/>
    <n v="126000"/>
    <x v="383"/>
    <n v="12600"/>
    <x v="11"/>
  </r>
  <r>
    <n v="1664"/>
    <d v="2025-03-10T00:00:00"/>
    <x v="4"/>
    <x v="0"/>
    <x v="0"/>
    <x v="1"/>
    <x v="17"/>
    <n v="14000"/>
    <x v="3"/>
    <n v="210000"/>
    <x v="168"/>
    <n v="16800"/>
    <x v="10"/>
  </r>
  <r>
    <n v="1665"/>
    <d v="2025-11-06T00:00:00"/>
    <x v="7"/>
    <x v="2"/>
    <x v="3"/>
    <x v="0"/>
    <x v="2"/>
    <n v="250"/>
    <x v="1"/>
    <n v="750"/>
    <x v="471"/>
    <n v="37.5"/>
    <x v="0"/>
  </r>
  <r>
    <n v="1666"/>
    <d v="2025-07-28T00:00:00"/>
    <x v="14"/>
    <x v="2"/>
    <x v="0"/>
    <x v="2"/>
    <x v="14"/>
    <n v="180"/>
    <x v="4"/>
    <n v="2880"/>
    <x v="472"/>
    <n v="345.59999999999991"/>
    <x v="5"/>
  </r>
  <r>
    <n v="1667"/>
    <d v="2025-09-21T00:00:00"/>
    <x v="11"/>
    <x v="3"/>
    <x v="0"/>
    <x v="1"/>
    <x v="8"/>
    <n v="3500"/>
    <x v="5"/>
    <n v="21000"/>
    <x v="218"/>
    <n v="0"/>
    <x v="9"/>
  </r>
  <r>
    <n v="1668"/>
    <d v="2025-03-11T00:00:00"/>
    <x v="11"/>
    <x v="3"/>
    <x v="1"/>
    <x v="7"/>
    <x v="13"/>
    <n v="3500"/>
    <x v="4"/>
    <n v="59500"/>
    <x v="473"/>
    <n v="7140"/>
    <x v="10"/>
  </r>
  <r>
    <n v="1669"/>
    <d v="2025-04-09T00:00:00"/>
    <x v="12"/>
    <x v="3"/>
    <x v="2"/>
    <x v="2"/>
    <x v="4"/>
    <n v="1800"/>
    <x v="5"/>
    <n v="12600"/>
    <x v="67"/>
    <n v="0"/>
    <x v="1"/>
  </r>
  <r>
    <n v="1670"/>
    <d v="2025-08-22T00:00:00"/>
    <x v="2"/>
    <x v="0"/>
    <x v="2"/>
    <x v="6"/>
    <x v="5"/>
    <n v="55000"/>
    <x v="0"/>
    <n v="660000"/>
    <x v="374"/>
    <n v="99000"/>
    <x v="6"/>
  </r>
  <r>
    <n v="1671"/>
    <d v="2025-07-08T00:00:00"/>
    <x v="13"/>
    <x v="0"/>
    <x v="3"/>
    <x v="5"/>
    <x v="17"/>
    <n v="42000"/>
    <x v="4"/>
    <n v="630000"/>
    <x v="474"/>
    <n v="75600"/>
    <x v="5"/>
  </r>
  <r>
    <n v="1672"/>
    <d v="2025-12-15T00:00:00"/>
    <x v="2"/>
    <x v="0"/>
    <x v="3"/>
    <x v="3"/>
    <x v="6"/>
    <n v="55000"/>
    <x v="3"/>
    <n v="440000"/>
    <x v="475"/>
    <n v="35200"/>
    <x v="8"/>
  </r>
  <r>
    <n v="1673"/>
    <d v="2025-04-01T00:00:00"/>
    <x v="13"/>
    <x v="0"/>
    <x v="0"/>
    <x v="4"/>
    <x v="14"/>
    <n v="42000"/>
    <x v="4"/>
    <n v="672000"/>
    <x v="385"/>
    <n v="80640"/>
    <x v="1"/>
  </r>
  <r>
    <n v="1674"/>
    <d v="2025-03-25T00:00:00"/>
    <x v="13"/>
    <x v="0"/>
    <x v="1"/>
    <x v="6"/>
    <x v="7"/>
    <n v="42000"/>
    <x v="0"/>
    <n v="378000"/>
    <x v="476"/>
    <n v="56700"/>
    <x v="10"/>
  </r>
  <r>
    <n v="1675"/>
    <d v="2025-01-15T00:00:00"/>
    <x v="8"/>
    <x v="1"/>
    <x v="2"/>
    <x v="0"/>
    <x v="9"/>
    <n v="8500"/>
    <x v="1"/>
    <n v="17000"/>
    <x v="477"/>
    <n v="850"/>
    <x v="2"/>
  </r>
  <r>
    <n v="1676"/>
    <d v="2025-11-28T00:00:00"/>
    <x v="3"/>
    <x v="0"/>
    <x v="3"/>
    <x v="2"/>
    <x v="4"/>
    <n v="800"/>
    <x v="3"/>
    <n v="5600"/>
    <x v="478"/>
    <n v="448"/>
    <x v="0"/>
  </r>
  <r>
    <n v="1677"/>
    <d v="2025-12-16T00:00:00"/>
    <x v="2"/>
    <x v="0"/>
    <x v="2"/>
    <x v="2"/>
    <x v="14"/>
    <n v="55000"/>
    <x v="1"/>
    <n v="880000"/>
    <x v="479"/>
    <n v="44000"/>
    <x v="8"/>
  </r>
  <r>
    <n v="1678"/>
    <d v="2025-04-25T00:00:00"/>
    <x v="4"/>
    <x v="0"/>
    <x v="0"/>
    <x v="1"/>
    <x v="12"/>
    <n v="14000"/>
    <x v="3"/>
    <n v="280000"/>
    <x v="480"/>
    <n v="22400"/>
    <x v="1"/>
  </r>
  <r>
    <n v="1679"/>
    <d v="2025-07-12T00:00:00"/>
    <x v="13"/>
    <x v="0"/>
    <x v="0"/>
    <x v="0"/>
    <x v="5"/>
    <n v="42000"/>
    <x v="2"/>
    <n v="504000"/>
    <x v="481"/>
    <n v="50400"/>
    <x v="5"/>
  </r>
  <r>
    <n v="1680"/>
    <d v="2025-08-27T00:00:00"/>
    <x v="4"/>
    <x v="0"/>
    <x v="3"/>
    <x v="5"/>
    <x v="13"/>
    <n v="14000"/>
    <x v="4"/>
    <n v="238000"/>
    <x v="482"/>
    <n v="28560"/>
    <x v="6"/>
  </r>
  <r>
    <n v="1681"/>
    <d v="2025-01-04T00:00:00"/>
    <x v="5"/>
    <x v="1"/>
    <x v="0"/>
    <x v="6"/>
    <x v="5"/>
    <n v="11000"/>
    <x v="4"/>
    <n v="132000"/>
    <x v="146"/>
    <n v="15840"/>
    <x v="2"/>
  </r>
  <r>
    <n v="1682"/>
    <d v="2025-12-17T00:00:00"/>
    <x v="0"/>
    <x v="0"/>
    <x v="0"/>
    <x v="6"/>
    <x v="14"/>
    <n v="18000"/>
    <x v="5"/>
    <n v="288000"/>
    <x v="483"/>
    <n v="0"/>
    <x v="8"/>
  </r>
  <r>
    <n v="1683"/>
    <d v="2025-11-24T00:00:00"/>
    <x v="9"/>
    <x v="0"/>
    <x v="0"/>
    <x v="0"/>
    <x v="7"/>
    <n v="2500"/>
    <x v="3"/>
    <n v="22500"/>
    <x v="115"/>
    <n v="1800"/>
    <x v="0"/>
  </r>
  <r>
    <n v="1684"/>
    <d v="2025-03-18T00:00:00"/>
    <x v="5"/>
    <x v="1"/>
    <x v="3"/>
    <x v="4"/>
    <x v="6"/>
    <n v="11000"/>
    <x v="5"/>
    <n v="88000"/>
    <x v="270"/>
    <n v="0"/>
    <x v="10"/>
  </r>
  <r>
    <n v="1685"/>
    <d v="2025-12-15T00:00:00"/>
    <x v="1"/>
    <x v="0"/>
    <x v="3"/>
    <x v="6"/>
    <x v="0"/>
    <n v="1200"/>
    <x v="0"/>
    <n v="1200"/>
    <x v="453"/>
    <n v="180"/>
    <x v="8"/>
  </r>
  <r>
    <n v="1686"/>
    <d v="2025-05-13T00:00:00"/>
    <x v="12"/>
    <x v="3"/>
    <x v="3"/>
    <x v="2"/>
    <x v="15"/>
    <n v="1800"/>
    <x v="2"/>
    <n v="25200"/>
    <x v="484"/>
    <n v="2520"/>
    <x v="4"/>
  </r>
  <r>
    <n v="1687"/>
    <d v="2025-10-26T00:00:00"/>
    <x v="14"/>
    <x v="2"/>
    <x v="0"/>
    <x v="0"/>
    <x v="10"/>
    <n v="180"/>
    <x v="1"/>
    <n v="3420"/>
    <x v="485"/>
    <n v="171"/>
    <x v="3"/>
  </r>
  <r>
    <n v="1688"/>
    <d v="2025-12-18T00:00:00"/>
    <x v="5"/>
    <x v="1"/>
    <x v="0"/>
    <x v="6"/>
    <x v="14"/>
    <n v="11000"/>
    <x v="0"/>
    <n v="176000"/>
    <x v="336"/>
    <n v="26400"/>
    <x v="8"/>
  </r>
  <r>
    <n v="1689"/>
    <d v="2025-03-29T00:00:00"/>
    <x v="13"/>
    <x v="0"/>
    <x v="0"/>
    <x v="5"/>
    <x v="3"/>
    <n v="42000"/>
    <x v="1"/>
    <n v="756000"/>
    <x v="486"/>
    <n v="37800"/>
    <x v="10"/>
  </r>
  <r>
    <n v="1690"/>
    <d v="2025-08-30T00:00:00"/>
    <x v="1"/>
    <x v="0"/>
    <x v="2"/>
    <x v="4"/>
    <x v="7"/>
    <n v="1200"/>
    <x v="0"/>
    <n v="10800"/>
    <x v="206"/>
    <n v="1620"/>
    <x v="6"/>
  </r>
  <r>
    <n v="1691"/>
    <d v="2025-12-02T00:00:00"/>
    <x v="0"/>
    <x v="0"/>
    <x v="2"/>
    <x v="6"/>
    <x v="6"/>
    <n v="18000"/>
    <x v="3"/>
    <n v="144000"/>
    <x v="284"/>
    <n v="11520"/>
    <x v="8"/>
  </r>
  <r>
    <n v="1692"/>
    <d v="2025-08-04T00:00:00"/>
    <x v="11"/>
    <x v="3"/>
    <x v="0"/>
    <x v="6"/>
    <x v="16"/>
    <n v="3500"/>
    <x v="3"/>
    <n v="38500"/>
    <x v="487"/>
    <n v="3080"/>
    <x v="6"/>
  </r>
  <r>
    <n v="1693"/>
    <d v="2025-08-26T00:00:00"/>
    <x v="13"/>
    <x v="0"/>
    <x v="1"/>
    <x v="5"/>
    <x v="1"/>
    <n v="42000"/>
    <x v="2"/>
    <n v="168000"/>
    <x v="488"/>
    <n v="16800"/>
    <x v="6"/>
  </r>
  <r>
    <n v="1694"/>
    <d v="2025-08-30T00:00:00"/>
    <x v="12"/>
    <x v="3"/>
    <x v="1"/>
    <x v="1"/>
    <x v="4"/>
    <n v="1800"/>
    <x v="4"/>
    <n v="12600"/>
    <x v="489"/>
    <n v="1512"/>
    <x v="6"/>
  </r>
  <r>
    <n v="1695"/>
    <d v="2025-09-29T00:00:00"/>
    <x v="4"/>
    <x v="0"/>
    <x v="2"/>
    <x v="7"/>
    <x v="15"/>
    <n v="14000"/>
    <x v="5"/>
    <n v="196000"/>
    <x v="490"/>
    <n v="0"/>
    <x v="9"/>
  </r>
  <r>
    <n v="1696"/>
    <d v="2025-04-13T00:00:00"/>
    <x v="9"/>
    <x v="0"/>
    <x v="3"/>
    <x v="7"/>
    <x v="15"/>
    <n v="2500"/>
    <x v="4"/>
    <n v="35000"/>
    <x v="491"/>
    <n v="4200"/>
    <x v="1"/>
  </r>
  <r>
    <n v="1697"/>
    <d v="2025-06-11T00:00:00"/>
    <x v="13"/>
    <x v="0"/>
    <x v="3"/>
    <x v="4"/>
    <x v="8"/>
    <n v="42000"/>
    <x v="5"/>
    <n v="252000"/>
    <x v="492"/>
    <n v="0"/>
    <x v="11"/>
  </r>
  <r>
    <n v="1698"/>
    <d v="2025-11-20T00:00:00"/>
    <x v="1"/>
    <x v="0"/>
    <x v="1"/>
    <x v="2"/>
    <x v="16"/>
    <n v="1200"/>
    <x v="0"/>
    <n v="13200"/>
    <x v="454"/>
    <n v="1980"/>
    <x v="0"/>
  </r>
  <r>
    <n v="1699"/>
    <d v="2025-08-20T00:00:00"/>
    <x v="4"/>
    <x v="0"/>
    <x v="2"/>
    <x v="3"/>
    <x v="4"/>
    <n v="14000"/>
    <x v="1"/>
    <n v="98000"/>
    <x v="493"/>
    <n v="4900"/>
    <x v="6"/>
  </r>
  <r>
    <n v="1700"/>
    <d v="2025-02-15T00:00:00"/>
    <x v="1"/>
    <x v="0"/>
    <x v="3"/>
    <x v="1"/>
    <x v="12"/>
    <n v="1200"/>
    <x v="2"/>
    <n v="24000"/>
    <x v="133"/>
    <n v="2400"/>
    <x v="7"/>
  </r>
  <r>
    <n v="1701"/>
    <d v="2025-08-08T00:00:00"/>
    <x v="10"/>
    <x v="1"/>
    <x v="1"/>
    <x v="0"/>
    <x v="11"/>
    <n v="15000"/>
    <x v="5"/>
    <n v="195000"/>
    <x v="494"/>
    <n v="0"/>
    <x v="6"/>
  </r>
  <r>
    <n v="1702"/>
    <d v="2025-07-11T00:00:00"/>
    <x v="2"/>
    <x v="0"/>
    <x v="2"/>
    <x v="2"/>
    <x v="16"/>
    <n v="55000"/>
    <x v="4"/>
    <n v="605000"/>
    <x v="495"/>
    <n v="72600"/>
    <x v="5"/>
  </r>
  <r>
    <n v="1703"/>
    <d v="2025-12-13T00:00:00"/>
    <x v="2"/>
    <x v="0"/>
    <x v="0"/>
    <x v="6"/>
    <x v="6"/>
    <n v="55000"/>
    <x v="1"/>
    <n v="440000"/>
    <x v="496"/>
    <n v="22000"/>
    <x v="8"/>
  </r>
  <r>
    <n v="1704"/>
    <d v="2025-03-08T00:00:00"/>
    <x v="0"/>
    <x v="0"/>
    <x v="0"/>
    <x v="7"/>
    <x v="11"/>
    <n v="18000"/>
    <x v="4"/>
    <n v="234000"/>
    <x v="466"/>
    <n v="28080"/>
    <x v="10"/>
  </r>
  <r>
    <n v="1705"/>
    <d v="2025-02-03T00:00:00"/>
    <x v="13"/>
    <x v="0"/>
    <x v="0"/>
    <x v="3"/>
    <x v="9"/>
    <n v="42000"/>
    <x v="3"/>
    <n v="84000"/>
    <x v="497"/>
    <n v="6720"/>
    <x v="7"/>
  </r>
  <r>
    <n v="1706"/>
    <d v="2025-09-24T00:00:00"/>
    <x v="6"/>
    <x v="1"/>
    <x v="3"/>
    <x v="7"/>
    <x v="13"/>
    <n v="9000"/>
    <x v="3"/>
    <n v="153000"/>
    <x v="498"/>
    <n v="12240"/>
    <x v="9"/>
  </r>
  <r>
    <n v="1707"/>
    <d v="2025-06-25T00:00:00"/>
    <x v="12"/>
    <x v="3"/>
    <x v="2"/>
    <x v="7"/>
    <x v="14"/>
    <n v="1800"/>
    <x v="3"/>
    <n v="28800"/>
    <x v="175"/>
    <n v="2304"/>
    <x v="11"/>
  </r>
  <r>
    <n v="1708"/>
    <d v="2025-07-26T00:00:00"/>
    <x v="2"/>
    <x v="0"/>
    <x v="2"/>
    <x v="0"/>
    <x v="6"/>
    <n v="55000"/>
    <x v="1"/>
    <n v="440000"/>
    <x v="496"/>
    <n v="22000"/>
    <x v="5"/>
  </r>
  <r>
    <n v="1709"/>
    <d v="2025-01-12T00:00:00"/>
    <x v="6"/>
    <x v="1"/>
    <x v="1"/>
    <x v="4"/>
    <x v="13"/>
    <n v="9000"/>
    <x v="1"/>
    <n v="153000"/>
    <x v="499"/>
    <n v="7650"/>
    <x v="2"/>
  </r>
  <r>
    <n v="1710"/>
    <d v="2025-12-31T00:00:00"/>
    <x v="7"/>
    <x v="2"/>
    <x v="0"/>
    <x v="2"/>
    <x v="9"/>
    <n v="250"/>
    <x v="2"/>
    <n v="500"/>
    <x v="500"/>
    <n v="50"/>
    <x v="8"/>
  </r>
  <r>
    <n v="1711"/>
    <d v="2025-11-01T00:00:00"/>
    <x v="2"/>
    <x v="0"/>
    <x v="1"/>
    <x v="2"/>
    <x v="1"/>
    <n v="55000"/>
    <x v="0"/>
    <n v="220000"/>
    <x v="26"/>
    <n v="33000"/>
    <x v="0"/>
  </r>
  <r>
    <n v="1712"/>
    <d v="2025-12-20T00:00:00"/>
    <x v="0"/>
    <x v="0"/>
    <x v="3"/>
    <x v="5"/>
    <x v="15"/>
    <n v="18000"/>
    <x v="2"/>
    <n v="252000"/>
    <x v="501"/>
    <n v="25200"/>
    <x v="8"/>
  </r>
  <r>
    <n v="1713"/>
    <d v="2025-10-08T00:00:00"/>
    <x v="4"/>
    <x v="0"/>
    <x v="2"/>
    <x v="0"/>
    <x v="14"/>
    <n v="14000"/>
    <x v="0"/>
    <n v="224000"/>
    <x v="502"/>
    <n v="33600"/>
    <x v="3"/>
  </r>
  <r>
    <n v="1714"/>
    <d v="2025-12-22T00:00:00"/>
    <x v="7"/>
    <x v="2"/>
    <x v="3"/>
    <x v="5"/>
    <x v="0"/>
    <n v="250"/>
    <x v="3"/>
    <n v="250"/>
    <x v="503"/>
    <n v="20"/>
    <x v="8"/>
  </r>
  <r>
    <n v="1715"/>
    <d v="2025-12-06T00:00:00"/>
    <x v="5"/>
    <x v="1"/>
    <x v="2"/>
    <x v="1"/>
    <x v="7"/>
    <n v="11000"/>
    <x v="4"/>
    <n v="99000"/>
    <x v="349"/>
    <n v="11880"/>
    <x v="8"/>
  </r>
  <r>
    <n v="1716"/>
    <d v="2025-02-23T00:00:00"/>
    <x v="5"/>
    <x v="1"/>
    <x v="0"/>
    <x v="5"/>
    <x v="12"/>
    <n v="11000"/>
    <x v="5"/>
    <n v="220000"/>
    <x v="504"/>
    <n v="0"/>
    <x v="7"/>
  </r>
  <r>
    <n v="1717"/>
    <d v="2025-02-24T00:00:00"/>
    <x v="10"/>
    <x v="1"/>
    <x v="2"/>
    <x v="6"/>
    <x v="4"/>
    <n v="15000"/>
    <x v="4"/>
    <n v="105000"/>
    <x v="80"/>
    <n v="12600"/>
    <x v="7"/>
  </r>
  <r>
    <n v="1718"/>
    <d v="2025-09-25T00:00:00"/>
    <x v="3"/>
    <x v="0"/>
    <x v="3"/>
    <x v="6"/>
    <x v="5"/>
    <n v="800"/>
    <x v="0"/>
    <n v="9600"/>
    <x v="17"/>
    <n v="1440"/>
    <x v="9"/>
  </r>
  <r>
    <n v="1719"/>
    <d v="2025-03-24T00:00:00"/>
    <x v="2"/>
    <x v="0"/>
    <x v="2"/>
    <x v="3"/>
    <x v="3"/>
    <n v="55000"/>
    <x v="2"/>
    <n v="990000"/>
    <x v="505"/>
    <n v="99000"/>
    <x v="10"/>
  </r>
  <r>
    <n v="1720"/>
    <d v="2025-06-19T00:00:00"/>
    <x v="3"/>
    <x v="0"/>
    <x v="1"/>
    <x v="5"/>
    <x v="0"/>
    <n v="800"/>
    <x v="5"/>
    <n v="800"/>
    <x v="33"/>
    <n v="0"/>
    <x v="11"/>
  </r>
  <r>
    <n v="1721"/>
    <d v="2025-10-21T00:00:00"/>
    <x v="7"/>
    <x v="2"/>
    <x v="1"/>
    <x v="5"/>
    <x v="14"/>
    <n v="250"/>
    <x v="1"/>
    <n v="4000"/>
    <x v="35"/>
    <n v="200"/>
    <x v="3"/>
  </r>
  <r>
    <n v="1722"/>
    <d v="2025-02-21T00:00:00"/>
    <x v="12"/>
    <x v="3"/>
    <x v="2"/>
    <x v="3"/>
    <x v="7"/>
    <n v="1800"/>
    <x v="0"/>
    <n v="16200"/>
    <x v="506"/>
    <n v="2430"/>
    <x v="7"/>
  </r>
  <r>
    <n v="1723"/>
    <d v="2025-06-01T00:00:00"/>
    <x v="4"/>
    <x v="0"/>
    <x v="1"/>
    <x v="7"/>
    <x v="17"/>
    <n v="14000"/>
    <x v="5"/>
    <n v="210000"/>
    <x v="159"/>
    <n v="0"/>
    <x v="11"/>
  </r>
  <r>
    <n v="1724"/>
    <d v="2025-01-21T00:00:00"/>
    <x v="13"/>
    <x v="0"/>
    <x v="0"/>
    <x v="1"/>
    <x v="18"/>
    <n v="42000"/>
    <x v="3"/>
    <n v="420000"/>
    <x v="507"/>
    <n v="33600"/>
    <x v="2"/>
  </r>
  <r>
    <n v="1725"/>
    <d v="2025-03-01T00:00:00"/>
    <x v="0"/>
    <x v="0"/>
    <x v="2"/>
    <x v="7"/>
    <x v="9"/>
    <n v="18000"/>
    <x v="5"/>
    <n v="36000"/>
    <x v="508"/>
    <n v="0"/>
    <x v="10"/>
  </r>
  <r>
    <n v="1726"/>
    <d v="2025-06-18T00:00:00"/>
    <x v="9"/>
    <x v="0"/>
    <x v="0"/>
    <x v="5"/>
    <x v="17"/>
    <n v="2500"/>
    <x v="4"/>
    <n v="37500"/>
    <x v="509"/>
    <n v="4500"/>
    <x v="11"/>
  </r>
  <r>
    <n v="1727"/>
    <d v="2025-07-10T00:00:00"/>
    <x v="13"/>
    <x v="0"/>
    <x v="1"/>
    <x v="1"/>
    <x v="16"/>
    <n v="42000"/>
    <x v="1"/>
    <n v="462000"/>
    <x v="244"/>
    <n v="23100"/>
    <x v="5"/>
  </r>
  <r>
    <n v="1728"/>
    <d v="2025-07-24T00:00:00"/>
    <x v="10"/>
    <x v="1"/>
    <x v="3"/>
    <x v="1"/>
    <x v="7"/>
    <n v="15000"/>
    <x v="2"/>
    <n v="135000"/>
    <x v="510"/>
    <n v="13500"/>
    <x v="5"/>
  </r>
  <r>
    <n v="1729"/>
    <d v="2025-11-29T00:00:00"/>
    <x v="12"/>
    <x v="3"/>
    <x v="2"/>
    <x v="2"/>
    <x v="8"/>
    <n v="1800"/>
    <x v="5"/>
    <n v="10800"/>
    <x v="227"/>
    <n v="0"/>
    <x v="0"/>
  </r>
  <r>
    <n v="1730"/>
    <d v="2025-03-23T00:00:00"/>
    <x v="0"/>
    <x v="0"/>
    <x v="3"/>
    <x v="3"/>
    <x v="15"/>
    <n v="18000"/>
    <x v="4"/>
    <n v="252000"/>
    <x v="261"/>
    <n v="30240"/>
    <x v="10"/>
  </r>
  <r>
    <n v="1731"/>
    <d v="2025-04-03T00:00:00"/>
    <x v="6"/>
    <x v="1"/>
    <x v="1"/>
    <x v="7"/>
    <x v="11"/>
    <n v="9000"/>
    <x v="3"/>
    <n v="117000"/>
    <x v="511"/>
    <n v="9360"/>
    <x v="1"/>
  </r>
  <r>
    <n v="1732"/>
    <d v="2025-09-05T00:00:00"/>
    <x v="12"/>
    <x v="3"/>
    <x v="3"/>
    <x v="3"/>
    <x v="14"/>
    <n v="1800"/>
    <x v="5"/>
    <n v="28800"/>
    <x v="148"/>
    <n v="0"/>
    <x v="9"/>
  </r>
  <r>
    <n v="1733"/>
    <d v="2025-01-24T00:00:00"/>
    <x v="0"/>
    <x v="0"/>
    <x v="0"/>
    <x v="2"/>
    <x v="7"/>
    <n v="18000"/>
    <x v="0"/>
    <n v="162000"/>
    <x v="224"/>
    <n v="24300"/>
    <x v="2"/>
  </r>
  <r>
    <n v="1734"/>
    <d v="2025-12-27T00:00:00"/>
    <x v="13"/>
    <x v="0"/>
    <x v="2"/>
    <x v="4"/>
    <x v="13"/>
    <n v="42000"/>
    <x v="0"/>
    <n v="714000"/>
    <x v="512"/>
    <n v="107100"/>
    <x v="8"/>
  </r>
  <r>
    <n v="1735"/>
    <d v="2025-09-23T00:00:00"/>
    <x v="5"/>
    <x v="1"/>
    <x v="3"/>
    <x v="0"/>
    <x v="12"/>
    <n v="11000"/>
    <x v="5"/>
    <n v="220000"/>
    <x v="504"/>
    <n v="0"/>
    <x v="9"/>
  </r>
  <r>
    <n v="1736"/>
    <d v="2025-09-04T00:00:00"/>
    <x v="9"/>
    <x v="0"/>
    <x v="1"/>
    <x v="2"/>
    <x v="11"/>
    <n v="2500"/>
    <x v="1"/>
    <n v="32500"/>
    <x v="423"/>
    <n v="1625"/>
    <x v="9"/>
  </r>
  <r>
    <n v="1737"/>
    <d v="2025-11-26T00:00:00"/>
    <x v="12"/>
    <x v="3"/>
    <x v="3"/>
    <x v="3"/>
    <x v="8"/>
    <n v="1800"/>
    <x v="4"/>
    <n v="10800"/>
    <x v="29"/>
    <n v="1296"/>
    <x v="0"/>
  </r>
  <r>
    <n v="1738"/>
    <d v="2025-03-26T00:00:00"/>
    <x v="0"/>
    <x v="0"/>
    <x v="2"/>
    <x v="4"/>
    <x v="14"/>
    <n v="18000"/>
    <x v="3"/>
    <n v="288000"/>
    <x v="513"/>
    <n v="23040"/>
    <x v="10"/>
  </r>
  <r>
    <n v="1739"/>
    <d v="2025-05-23T00:00:00"/>
    <x v="2"/>
    <x v="0"/>
    <x v="3"/>
    <x v="1"/>
    <x v="13"/>
    <n v="55000"/>
    <x v="1"/>
    <n v="935000"/>
    <x v="116"/>
    <n v="46750"/>
    <x v="4"/>
  </r>
  <r>
    <n v="1740"/>
    <d v="2025-05-01T00:00:00"/>
    <x v="0"/>
    <x v="0"/>
    <x v="3"/>
    <x v="5"/>
    <x v="17"/>
    <n v="18000"/>
    <x v="2"/>
    <n v="270000"/>
    <x v="514"/>
    <n v="27000"/>
    <x v="4"/>
  </r>
  <r>
    <n v="1741"/>
    <d v="2025-09-13T00:00:00"/>
    <x v="10"/>
    <x v="1"/>
    <x v="3"/>
    <x v="2"/>
    <x v="16"/>
    <n v="15000"/>
    <x v="5"/>
    <n v="165000"/>
    <x v="428"/>
    <n v="0"/>
    <x v="9"/>
  </r>
  <r>
    <n v="1742"/>
    <d v="2025-02-22T00:00:00"/>
    <x v="8"/>
    <x v="1"/>
    <x v="1"/>
    <x v="5"/>
    <x v="15"/>
    <n v="8500"/>
    <x v="5"/>
    <n v="119000"/>
    <x v="135"/>
    <n v="0"/>
    <x v="7"/>
  </r>
  <r>
    <n v="1743"/>
    <d v="2025-11-06T00:00:00"/>
    <x v="6"/>
    <x v="1"/>
    <x v="2"/>
    <x v="3"/>
    <x v="18"/>
    <n v="9000"/>
    <x v="4"/>
    <n v="90000"/>
    <x v="294"/>
    <n v="10800"/>
    <x v="0"/>
  </r>
  <r>
    <n v="1744"/>
    <d v="2025-06-24T00:00:00"/>
    <x v="9"/>
    <x v="0"/>
    <x v="3"/>
    <x v="4"/>
    <x v="9"/>
    <n v="2500"/>
    <x v="1"/>
    <n v="5000"/>
    <x v="515"/>
    <n v="250"/>
    <x v="11"/>
  </r>
  <r>
    <n v="1745"/>
    <d v="2025-10-14T00:00:00"/>
    <x v="11"/>
    <x v="3"/>
    <x v="3"/>
    <x v="4"/>
    <x v="12"/>
    <n v="3500"/>
    <x v="4"/>
    <n v="70000"/>
    <x v="205"/>
    <n v="8400"/>
    <x v="3"/>
  </r>
  <r>
    <n v="1746"/>
    <d v="2025-08-20T00:00:00"/>
    <x v="0"/>
    <x v="0"/>
    <x v="2"/>
    <x v="2"/>
    <x v="1"/>
    <n v="18000"/>
    <x v="0"/>
    <n v="72000"/>
    <x v="57"/>
    <n v="10800"/>
    <x v="6"/>
  </r>
  <r>
    <n v="1747"/>
    <d v="2025-06-24T00:00:00"/>
    <x v="9"/>
    <x v="0"/>
    <x v="0"/>
    <x v="5"/>
    <x v="18"/>
    <n v="2500"/>
    <x v="4"/>
    <n v="25000"/>
    <x v="516"/>
    <n v="3000"/>
    <x v="11"/>
  </r>
  <r>
    <n v="1748"/>
    <d v="2025-01-24T00:00:00"/>
    <x v="12"/>
    <x v="3"/>
    <x v="2"/>
    <x v="1"/>
    <x v="8"/>
    <n v="1800"/>
    <x v="2"/>
    <n v="10800"/>
    <x v="517"/>
    <n v="1080"/>
    <x v="2"/>
  </r>
  <r>
    <n v="1749"/>
    <d v="2025-02-24T00:00:00"/>
    <x v="4"/>
    <x v="0"/>
    <x v="2"/>
    <x v="5"/>
    <x v="12"/>
    <n v="14000"/>
    <x v="1"/>
    <n v="280000"/>
    <x v="518"/>
    <n v="14000"/>
    <x v="7"/>
  </r>
  <r>
    <n v="1750"/>
    <d v="2025-07-21T00:00:00"/>
    <x v="3"/>
    <x v="0"/>
    <x v="4"/>
    <x v="5"/>
    <x v="17"/>
    <n v="800"/>
    <x v="1"/>
    <n v="12000"/>
    <x v="519"/>
    <n v="600"/>
    <x v="5"/>
  </r>
  <r>
    <n v="1751"/>
    <d v="2025-08-01T00:00:00"/>
    <x v="2"/>
    <x v="0"/>
    <x v="3"/>
    <x v="3"/>
    <x v="10"/>
    <n v="55000"/>
    <x v="5"/>
    <n v="1045000"/>
    <x v="520"/>
    <n v="0"/>
    <x v="6"/>
  </r>
  <r>
    <n v="1752"/>
    <d v="2025-12-04T00:00:00"/>
    <x v="6"/>
    <x v="1"/>
    <x v="3"/>
    <x v="2"/>
    <x v="13"/>
    <n v="9000"/>
    <x v="1"/>
    <n v="153000"/>
    <x v="499"/>
    <n v="7650"/>
    <x v="8"/>
  </r>
  <r>
    <n v="1753"/>
    <d v="2025-09-29T00:00:00"/>
    <x v="14"/>
    <x v="2"/>
    <x v="3"/>
    <x v="3"/>
    <x v="9"/>
    <n v="180"/>
    <x v="4"/>
    <n v="360"/>
    <x v="521"/>
    <n v="43.199999999999989"/>
    <x v="9"/>
  </r>
  <r>
    <n v="1754"/>
    <d v="2025-09-18T00:00:00"/>
    <x v="11"/>
    <x v="3"/>
    <x v="2"/>
    <x v="7"/>
    <x v="8"/>
    <n v="3500"/>
    <x v="0"/>
    <n v="21000"/>
    <x v="522"/>
    <n v="3150"/>
    <x v="9"/>
  </r>
  <r>
    <n v="1755"/>
    <d v="2025-02-23T00:00:00"/>
    <x v="8"/>
    <x v="1"/>
    <x v="0"/>
    <x v="1"/>
    <x v="12"/>
    <n v="8500"/>
    <x v="4"/>
    <n v="170000"/>
    <x v="336"/>
    <n v="20400"/>
    <x v="7"/>
  </r>
  <r>
    <n v="1756"/>
    <d v="2025-08-03T00:00:00"/>
    <x v="6"/>
    <x v="1"/>
    <x v="3"/>
    <x v="4"/>
    <x v="6"/>
    <n v="9000"/>
    <x v="3"/>
    <n v="72000"/>
    <x v="523"/>
    <n v="5760"/>
    <x v="6"/>
  </r>
  <r>
    <n v="1757"/>
    <d v="2025-05-31T00:00:00"/>
    <x v="10"/>
    <x v="1"/>
    <x v="3"/>
    <x v="6"/>
    <x v="19"/>
    <n v="15000"/>
    <x v="1"/>
    <n v="75000"/>
    <x v="524"/>
    <n v="3750"/>
    <x v="4"/>
  </r>
  <r>
    <n v="1758"/>
    <d v="2025-12-26T00:00:00"/>
    <x v="5"/>
    <x v="1"/>
    <x v="2"/>
    <x v="0"/>
    <x v="16"/>
    <n v="11000"/>
    <x v="0"/>
    <n v="121000"/>
    <x v="525"/>
    <n v="18150"/>
    <x v="8"/>
  </r>
  <r>
    <n v="1759"/>
    <d v="2025-04-18T00:00:00"/>
    <x v="6"/>
    <x v="1"/>
    <x v="0"/>
    <x v="7"/>
    <x v="18"/>
    <n v="9000"/>
    <x v="0"/>
    <n v="90000"/>
    <x v="293"/>
    <n v="13500"/>
    <x v="1"/>
  </r>
  <r>
    <n v="1760"/>
    <d v="2025-12-30T00:00:00"/>
    <x v="7"/>
    <x v="2"/>
    <x v="0"/>
    <x v="5"/>
    <x v="8"/>
    <n v="250"/>
    <x v="4"/>
    <n v="1500"/>
    <x v="12"/>
    <n v="180"/>
    <x v="8"/>
  </r>
  <r>
    <n v="1761"/>
    <d v="2025-06-30T00:00:00"/>
    <x v="5"/>
    <x v="1"/>
    <x v="3"/>
    <x v="6"/>
    <x v="14"/>
    <n v="11000"/>
    <x v="4"/>
    <n v="176000"/>
    <x v="318"/>
    <n v="21120"/>
    <x v="11"/>
  </r>
  <r>
    <n v="1762"/>
    <d v="2025-08-05T00:00:00"/>
    <x v="11"/>
    <x v="3"/>
    <x v="1"/>
    <x v="2"/>
    <x v="0"/>
    <n v="3500"/>
    <x v="4"/>
    <n v="3500"/>
    <x v="526"/>
    <n v="420"/>
    <x v="6"/>
  </r>
  <r>
    <n v="1763"/>
    <d v="2025-07-15T00:00:00"/>
    <x v="1"/>
    <x v="0"/>
    <x v="1"/>
    <x v="0"/>
    <x v="9"/>
    <n v="1200"/>
    <x v="0"/>
    <n v="2400"/>
    <x v="180"/>
    <n v="360"/>
    <x v="5"/>
  </r>
  <r>
    <n v="1764"/>
    <d v="2025-05-17T00:00:00"/>
    <x v="11"/>
    <x v="3"/>
    <x v="0"/>
    <x v="7"/>
    <x v="8"/>
    <n v="3500"/>
    <x v="3"/>
    <n v="21000"/>
    <x v="241"/>
    <n v="1680"/>
    <x v="4"/>
  </r>
  <r>
    <n v="1765"/>
    <d v="2025-02-01T00:00:00"/>
    <x v="14"/>
    <x v="2"/>
    <x v="1"/>
    <x v="4"/>
    <x v="18"/>
    <n v="180"/>
    <x v="1"/>
    <n v="1800"/>
    <x v="527"/>
    <n v="90"/>
    <x v="7"/>
  </r>
  <r>
    <n v="1766"/>
    <d v="2025-08-20T00:00:00"/>
    <x v="0"/>
    <x v="0"/>
    <x v="2"/>
    <x v="1"/>
    <x v="12"/>
    <n v="18000"/>
    <x v="0"/>
    <n v="360000"/>
    <x v="528"/>
    <n v="54000"/>
    <x v="6"/>
  </r>
  <r>
    <n v="1767"/>
    <d v="2025-05-02T00:00:00"/>
    <x v="5"/>
    <x v="1"/>
    <x v="1"/>
    <x v="1"/>
    <x v="18"/>
    <n v="11000"/>
    <x v="0"/>
    <n v="110000"/>
    <x v="75"/>
    <n v="16500"/>
    <x v="4"/>
  </r>
  <r>
    <n v="1768"/>
    <d v="2025-07-18T00:00:00"/>
    <x v="8"/>
    <x v="1"/>
    <x v="1"/>
    <x v="2"/>
    <x v="16"/>
    <n v="8500"/>
    <x v="4"/>
    <n v="93500"/>
    <x v="529"/>
    <n v="11220"/>
    <x v="5"/>
  </r>
  <r>
    <n v="1769"/>
    <d v="2025-05-09T00:00:00"/>
    <x v="3"/>
    <x v="0"/>
    <x v="2"/>
    <x v="4"/>
    <x v="12"/>
    <n v="800"/>
    <x v="2"/>
    <n v="16000"/>
    <x v="530"/>
    <n v="1600"/>
    <x v="4"/>
  </r>
  <r>
    <n v="1770"/>
    <d v="2025-10-29T00:00:00"/>
    <x v="5"/>
    <x v="1"/>
    <x v="2"/>
    <x v="6"/>
    <x v="12"/>
    <n v="11000"/>
    <x v="1"/>
    <n v="220000"/>
    <x v="25"/>
    <n v="11000"/>
    <x v="3"/>
  </r>
  <r>
    <n v="1771"/>
    <d v="2025-08-18T00:00:00"/>
    <x v="1"/>
    <x v="0"/>
    <x v="2"/>
    <x v="5"/>
    <x v="2"/>
    <n v="1200"/>
    <x v="1"/>
    <n v="3600"/>
    <x v="229"/>
    <n v="180"/>
    <x v="6"/>
  </r>
  <r>
    <n v="1772"/>
    <d v="2025-07-13T00:00:00"/>
    <x v="2"/>
    <x v="0"/>
    <x v="0"/>
    <x v="7"/>
    <x v="15"/>
    <n v="55000"/>
    <x v="3"/>
    <n v="770000"/>
    <x v="531"/>
    <n v="61600"/>
    <x v="5"/>
  </r>
  <r>
    <n v="1773"/>
    <d v="2025-03-24T00:00:00"/>
    <x v="6"/>
    <x v="1"/>
    <x v="0"/>
    <x v="3"/>
    <x v="7"/>
    <n v="9000"/>
    <x v="5"/>
    <n v="81000"/>
    <x v="438"/>
    <n v="0"/>
    <x v="10"/>
  </r>
  <r>
    <n v="1774"/>
    <d v="2025-12-30T00:00:00"/>
    <x v="12"/>
    <x v="3"/>
    <x v="2"/>
    <x v="4"/>
    <x v="19"/>
    <n v="1800"/>
    <x v="5"/>
    <n v="9000"/>
    <x v="246"/>
    <n v="0"/>
    <x v="8"/>
  </r>
  <r>
    <n v="1775"/>
    <d v="2025-11-02T00:00:00"/>
    <x v="2"/>
    <x v="0"/>
    <x v="0"/>
    <x v="3"/>
    <x v="12"/>
    <n v="55000"/>
    <x v="0"/>
    <n v="1100000"/>
    <x v="532"/>
    <n v="165000"/>
    <x v="0"/>
  </r>
  <r>
    <n v="1776"/>
    <d v="2025-10-21T00:00:00"/>
    <x v="5"/>
    <x v="1"/>
    <x v="0"/>
    <x v="0"/>
    <x v="5"/>
    <n v="11000"/>
    <x v="5"/>
    <n v="132000"/>
    <x v="533"/>
    <n v="0"/>
    <x v="3"/>
  </r>
  <r>
    <n v="1777"/>
    <d v="2025-04-05T00:00:00"/>
    <x v="5"/>
    <x v="1"/>
    <x v="2"/>
    <x v="1"/>
    <x v="2"/>
    <n v="11000"/>
    <x v="4"/>
    <n v="33000"/>
    <x v="534"/>
    <n v="3960"/>
    <x v="1"/>
  </r>
  <r>
    <n v="1778"/>
    <d v="2025-10-06T00:00:00"/>
    <x v="5"/>
    <x v="1"/>
    <x v="0"/>
    <x v="0"/>
    <x v="11"/>
    <n v="11000"/>
    <x v="5"/>
    <n v="143000"/>
    <x v="535"/>
    <n v="0"/>
    <x v="3"/>
  </r>
  <r>
    <n v="1779"/>
    <d v="2025-04-20T00:00:00"/>
    <x v="7"/>
    <x v="2"/>
    <x v="0"/>
    <x v="6"/>
    <x v="16"/>
    <n v="250"/>
    <x v="3"/>
    <n v="2750"/>
    <x v="536"/>
    <n v="220"/>
    <x v="1"/>
  </r>
  <r>
    <n v="1780"/>
    <d v="2025-04-22T00:00:00"/>
    <x v="11"/>
    <x v="3"/>
    <x v="3"/>
    <x v="2"/>
    <x v="12"/>
    <n v="3500"/>
    <x v="4"/>
    <n v="70000"/>
    <x v="205"/>
    <n v="8400"/>
    <x v="1"/>
  </r>
  <r>
    <n v="1781"/>
    <d v="2025-02-28T00:00:00"/>
    <x v="7"/>
    <x v="2"/>
    <x v="2"/>
    <x v="0"/>
    <x v="5"/>
    <n v="250"/>
    <x v="2"/>
    <n v="3000"/>
    <x v="31"/>
    <n v="300"/>
    <x v="7"/>
  </r>
  <r>
    <n v="1782"/>
    <d v="2025-01-21T00:00:00"/>
    <x v="7"/>
    <x v="2"/>
    <x v="1"/>
    <x v="1"/>
    <x v="16"/>
    <n v="250"/>
    <x v="2"/>
    <n v="2750"/>
    <x v="537"/>
    <n v="275"/>
    <x v="2"/>
  </r>
  <r>
    <n v="1783"/>
    <d v="2025-05-12T00:00:00"/>
    <x v="5"/>
    <x v="1"/>
    <x v="0"/>
    <x v="3"/>
    <x v="18"/>
    <n v="11000"/>
    <x v="5"/>
    <n v="110000"/>
    <x v="422"/>
    <n v="0"/>
    <x v="4"/>
  </r>
  <r>
    <n v="1784"/>
    <d v="2025-09-07T00:00:00"/>
    <x v="2"/>
    <x v="0"/>
    <x v="2"/>
    <x v="4"/>
    <x v="18"/>
    <n v="55000"/>
    <x v="0"/>
    <n v="550000"/>
    <x v="538"/>
    <n v="82500"/>
    <x v="9"/>
  </r>
  <r>
    <n v="1785"/>
    <d v="2025-09-21T00:00:00"/>
    <x v="0"/>
    <x v="0"/>
    <x v="1"/>
    <x v="5"/>
    <x v="1"/>
    <n v="18000"/>
    <x v="1"/>
    <n v="72000"/>
    <x v="539"/>
    <n v="3600"/>
    <x v="9"/>
  </r>
  <r>
    <n v="1786"/>
    <d v="2025-04-18T00:00:00"/>
    <x v="7"/>
    <x v="2"/>
    <x v="3"/>
    <x v="5"/>
    <x v="4"/>
    <n v="250"/>
    <x v="0"/>
    <n v="1750"/>
    <x v="187"/>
    <n v="262.5"/>
    <x v="1"/>
  </r>
  <r>
    <n v="1787"/>
    <d v="2025-04-16T00:00:00"/>
    <x v="5"/>
    <x v="1"/>
    <x v="1"/>
    <x v="7"/>
    <x v="15"/>
    <n v="11000"/>
    <x v="0"/>
    <n v="154000"/>
    <x v="108"/>
    <n v="23100"/>
    <x v="1"/>
  </r>
  <r>
    <n v="1788"/>
    <d v="2025-01-13T00:00:00"/>
    <x v="10"/>
    <x v="1"/>
    <x v="1"/>
    <x v="5"/>
    <x v="16"/>
    <n v="15000"/>
    <x v="5"/>
    <n v="165000"/>
    <x v="428"/>
    <n v="0"/>
    <x v="2"/>
  </r>
  <r>
    <n v="1789"/>
    <d v="2025-01-28T00:00:00"/>
    <x v="1"/>
    <x v="0"/>
    <x v="1"/>
    <x v="0"/>
    <x v="7"/>
    <n v="1200"/>
    <x v="4"/>
    <n v="10800"/>
    <x v="29"/>
    <n v="1296"/>
    <x v="2"/>
  </r>
  <r>
    <n v="1790"/>
    <d v="2025-05-13T00:00:00"/>
    <x v="8"/>
    <x v="1"/>
    <x v="3"/>
    <x v="1"/>
    <x v="11"/>
    <n v="8500"/>
    <x v="2"/>
    <n v="110500"/>
    <x v="160"/>
    <n v="11050"/>
    <x v="4"/>
  </r>
  <r>
    <n v="1791"/>
    <d v="2025-06-11T00:00:00"/>
    <x v="2"/>
    <x v="0"/>
    <x v="1"/>
    <x v="2"/>
    <x v="11"/>
    <n v="55000"/>
    <x v="0"/>
    <n v="715000"/>
    <x v="540"/>
    <n v="107250"/>
    <x v="11"/>
  </r>
  <r>
    <n v="1792"/>
    <d v="2025-11-25T00:00:00"/>
    <x v="14"/>
    <x v="2"/>
    <x v="1"/>
    <x v="5"/>
    <x v="12"/>
    <n v="180"/>
    <x v="5"/>
    <n v="3600"/>
    <x v="401"/>
    <n v="0"/>
    <x v="0"/>
  </r>
  <r>
    <n v="1793"/>
    <d v="2025-07-03T00:00:00"/>
    <x v="12"/>
    <x v="3"/>
    <x v="0"/>
    <x v="6"/>
    <x v="13"/>
    <n v="1800"/>
    <x v="5"/>
    <n v="30600"/>
    <x v="541"/>
    <n v="0"/>
    <x v="5"/>
  </r>
  <r>
    <n v="1794"/>
    <d v="2025-11-07T00:00:00"/>
    <x v="0"/>
    <x v="0"/>
    <x v="3"/>
    <x v="1"/>
    <x v="18"/>
    <n v="18000"/>
    <x v="2"/>
    <n v="180000"/>
    <x v="96"/>
    <n v="18000"/>
    <x v="0"/>
  </r>
  <r>
    <n v="1795"/>
    <d v="2025-12-05T00:00:00"/>
    <x v="2"/>
    <x v="0"/>
    <x v="2"/>
    <x v="7"/>
    <x v="14"/>
    <n v="55000"/>
    <x v="1"/>
    <n v="880000"/>
    <x v="479"/>
    <n v="44000"/>
    <x v="8"/>
  </r>
  <r>
    <n v="1796"/>
    <d v="2025-07-20T00:00:00"/>
    <x v="11"/>
    <x v="3"/>
    <x v="2"/>
    <x v="6"/>
    <x v="3"/>
    <n v="3500"/>
    <x v="3"/>
    <n v="63000"/>
    <x v="394"/>
    <n v="5040"/>
    <x v="5"/>
  </r>
  <r>
    <n v="1797"/>
    <d v="2025-12-13T00:00:00"/>
    <x v="12"/>
    <x v="3"/>
    <x v="2"/>
    <x v="5"/>
    <x v="5"/>
    <n v="1800"/>
    <x v="5"/>
    <n v="21600"/>
    <x v="133"/>
    <n v="0"/>
    <x v="8"/>
  </r>
  <r>
    <n v="1798"/>
    <d v="2025-01-22T00:00:00"/>
    <x v="2"/>
    <x v="0"/>
    <x v="3"/>
    <x v="5"/>
    <x v="10"/>
    <n v="55000"/>
    <x v="4"/>
    <n v="1045000"/>
    <x v="542"/>
    <n v="125400"/>
    <x v="2"/>
  </r>
  <r>
    <n v="1799"/>
    <d v="2025-06-06T00:00:00"/>
    <x v="3"/>
    <x v="0"/>
    <x v="3"/>
    <x v="7"/>
    <x v="5"/>
    <n v="800"/>
    <x v="1"/>
    <n v="9600"/>
    <x v="351"/>
    <n v="480"/>
    <x v="11"/>
  </r>
  <r>
    <n v="1800"/>
    <d v="2025-03-24T00:00:00"/>
    <x v="1"/>
    <x v="0"/>
    <x v="0"/>
    <x v="0"/>
    <x v="6"/>
    <n v="1200"/>
    <x v="4"/>
    <n v="9600"/>
    <x v="446"/>
    <n v="1152"/>
    <x v="10"/>
  </r>
  <r>
    <n v="1801"/>
    <d v="2025-02-28T00:00:00"/>
    <x v="1"/>
    <x v="0"/>
    <x v="3"/>
    <x v="5"/>
    <x v="10"/>
    <n v="1200"/>
    <x v="5"/>
    <n v="22800"/>
    <x v="543"/>
    <n v="0"/>
    <x v="7"/>
  </r>
  <r>
    <n v="1802"/>
    <d v="2025-05-29T00:00:00"/>
    <x v="7"/>
    <x v="2"/>
    <x v="1"/>
    <x v="0"/>
    <x v="2"/>
    <n v="250"/>
    <x v="3"/>
    <n v="750"/>
    <x v="544"/>
    <n v="60"/>
    <x v="4"/>
  </r>
  <r>
    <n v="1803"/>
    <d v="2025-10-25T00:00:00"/>
    <x v="10"/>
    <x v="1"/>
    <x v="2"/>
    <x v="0"/>
    <x v="16"/>
    <n v="15000"/>
    <x v="3"/>
    <n v="165000"/>
    <x v="347"/>
    <n v="13200"/>
    <x v="3"/>
  </r>
  <r>
    <n v="1804"/>
    <d v="2025-02-21T00:00:00"/>
    <x v="4"/>
    <x v="0"/>
    <x v="2"/>
    <x v="4"/>
    <x v="12"/>
    <n v="14000"/>
    <x v="5"/>
    <n v="280000"/>
    <x v="545"/>
    <n v="0"/>
    <x v="7"/>
  </r>
  <r>
    <n v="1805"/>
    <d v="2025-09-06T00:00:00"/>
    <x v="10"/>
    <x v="1"/>
    <x v="0"/>
    <x v="7"/>
    <x v="16"/>
    <n v="15000"/>
    <x v="4"/>
    <n v="165000"/>
    <x v="546"/>
    <n v="19800"/>
    <x v="9"/>
  </r>
  <r>
    <n v="1806"/>
    <d v="2025-10-17T00:00:00"/>
    <x v="6"/>
    <x v="1"/>
    <x v="3"/>
    <x v="7"/>
    <x v="5"/>
    <n v="9000"/>
    <x v="3"/>
    <n v="108000"/>
    <x v="547"/>
    <n v="8640"/>
    <x v="3"/>
  </r>
  <r>
    <n v="1807"/>
    <d v="2025-01-03T00:00:00"/>
    <x v="9"/>
    <x v="0"/>
    <x v="3"/>
    <x v="6"/>
    <x v="6"/>
    <n v="2500"/>
    <x v="1"/>
    <n v="20000"/>
    <x v="548"/>
    <n v="1000"/>
    <x v="2"/>
  </r>
  <r>
    <n v="1808"/>
    <d v="2025-07-04T00:00:00"/>
    <x v="1"/>
    <x v="0"/>
    <x v="3"/>
    <x v="3"/>
    <x v="16"/>
    <n v="1200"/>
    <x v="2"/>
    <n v="13200"/>
    <x v="289"/>
    <n v="1320"/>
    <x v="5"/>
  </r>
  <r>
    <n v="1809"/>
    <d v="2025-07-03T00:00:00"/>
    <x v="11"/>
    <x v="3"/>
    <x v="1"/>
    <x v="7"/>
    <x v="18"/>
    <n v="3500"/>
    <x v="2"/>
    <n v="35000"/>
    <x v="549"/>
    <n v="3500"/>
    <x v="5"/>
  </r>
  <r>
    <n v="1810"/>
    <d v="2025-11-27T00:00:00"/>
    <x v="6"/>
    <x v="1"/>
    <x v="2"/>
    <x v="0"/>
    <x v="2"/>
    <n v="9000"/>
    <x v="3"/>
    <n v="27000"/>
    <x v="231"/>
    <n v="2160"/>
    <x v="0"/>
  </r>
  <r>
    <n v="1811"/>
    <d v="2025-05-15T00:00:00"/>
    <x v="14"/>
    <x v="2"/>
    <x v="1"/>
    <x v="2"/>
    <x v="2"/>
    <n v="180"/>
    <x v="0"/>
    <n v="540"/>
    <x v="550"/>
    <n v="81"/>
    <x v="4"/>
  </r>
  <r>
    <n v="1812"/>
    <d v="2025-09-17T00:00:00"/>
    <x v="7"/>
    <x v="2"/>
    <x v="3"/>
    <x v="0"/>
    <x v="0"/>
    <n v="250"/>
    <x v="4"/>
    <n v="250"/>
    <x v="551"/>
    <n v="30"/>
    <x v="9"/>
  </r>
  <r>
    <n v="1813"/>
    <d v="2025-01-19T00:00:00"/>
    <x v="5"/>
    <x v="1"/>
    <x v="3"/>
    <x v="7"/>
    <x v="7"/>
    <n v="11000"/>
    <x v="4"/>
    <n v="99000"/>
    <x v="349"/>
    <n v="11880"/>
    <x v="2"/>
  </r>
  <r>
    <n v="1814"/>
    <d v="2025-07-07T00:00:00"/>
    <x v="8"/>
    <x v="1"/>
    <x v="0"/>
    <x v="7"/>
    <x v="6"/>
    <n v="8500"/>
    <x v="4"/>
    <n v="68000"/>
    <x v="552"/>
    <n v="8160"/>
    <x v="5"/>
  </r>
  <r>
    <n v="1815"/>
    <d v="2025-08-26T00:00:00"/>
    <x v="5"/>
    <x v="1"/>
    <x v="3"/>
    <x v="4"/>
    <x v="13"/>
    <n v="11000"/>
    <x v="5"/>
    <n v="187000"/>
    <x v="26"/>
    <n v="0"/>
    <x v="6"/>
  </r>
  <r>
    <n v="1816"/>
    <d v="2025-09-15T00:00:00"/>
    <x v="2"/>
    <x v="0"/>
    <x v="2"/>
    <x v="7"/>
    <x v="6"/>
    <n v="55000"/>
    <x v="4"/>
    <n v="440000"/>
    <x v="448"/>
    <n v="52800"/>
    <x v="9"/>
  </r>
  <r>
    <n v="1817"/>
    <d v="2025-08-17T00:00:00"/>
    <x v="1"/>
    <x v="0"/>
    <x v="2"/>
    <x v="3"/>
    <x v="8"/>
    <n v="1200"/>
    <x v="4"/>
    <n v="7200"/>
    <x v="147"/>
    <n v="864"/>
    <x v="6"/>
  </r>
  <r>
    <n v="1818"/>
    <d v="2025-07-03T00:00:00"/>
    <x v="2"/>
    <x v="0"/>
    <x v="2"/>
    <x v="5"/>
    <x v="6"/>
    <n v="55000"/>
    <x v="2"/>
    <n v="440000"/>
    <x v="83"/>
    <n v="44000"/>
    <x v="5"/>
  </r>
  <r>
    <n v="1819"/>
    <d v="2025-05-16T00:00:00"/>
    <x v="9"/>
    <x v="0"/>
    <x v="2"/>
    <x v="4"/>
    <x v="6"/>
    <n v="2500"/>
    <x v="5"/>
    <n v="20000"/>
    <x v="553"/>
    <n v="0"/>
    <x v="4"/>
  </r>
  <r>
    <n v="1820"/>
    <d v="2025-07-18T00:00:00"/>
    <x v="10"/>
    <x v="1"/>
    <x v="1"/>
    <x v="4"/>
    <x v="17"/>
    <n v="15000"/>
    <x v="5"/>
    <n v="225000"/>
    <x v="554"/>
    <n v="0"/>
    <x v="5"/>
  </r>
  <r>
    <n v="1821"/>
    <d v="2025-02-22T00:00:00"/>
    <x v="14"/>
    <x v="2"/>
    <x v="0"/>
    <x v="6"/>
    <x v="13"/>
    <n v="180"/>
    <x v="0"/>
    <n v="3060"/>
    <x v="555"/>
    <n v="459"/>
    <x v="7"/>
  </r>
  <r>
    <n v="1822"/>
    <d v="2025-10-24T00:00:00"/>
    <x v="5"/>
    <x v="1"/>
    <x v="3"/>
    <x v="1"/>
    <x v="10"/>
    <n v="11000"/>
    <x v="1"/>
    <n v="209000"/>
    <x v="556"/>
    <n v="10450"/>
    <x v="3"/>
  </r>
  <r>
    <n v="1823"/>
    <d v="2025-07-07T00:00:00"/>
    <x v="6"/>
    <x v="1"/>
    <x v="0"/>
    <x v="1"/>
    <x v="2"/>
    <n v="9000"/>
    <x v="4"/>
    <n v="27000"/>
    <x v="557"/>
    <n v="3240"/>
    <x v="5"/>
  </r>
  <r>
    <n v="1824"/>
    <d v="2025-04-25T00:00:00"/>
    <x v="5"/>
    <x v="1"/>
    <x v="0"/>
    <x v="3"/>
    <x v="11"/>
    <n v="11000"/>
    <x v="3"/>
    <n v="143000"/>
    <x v="558"/>
    <n v="11440"/>
    <x v="1"/>
  </r>
  <r>
    <n v="1825"/>
    <d v="2025-09-04T00:00:00"/>
    <x v="12"/>
    <x v="0"/>
    <x v="2"/>
    <x v="3"/>
    <x v="12"/>
    <n v="1800"/>
    <x v="5"/>
    <n v="36000"/>
    <x v="508"/>
    <n v="0"/>
    <x v="9"/>
  </r>
  <r>
    <n v="1826"/>
    <d v="2025-03-26T00:00:00"/>
    <x v="3"/>
    <x v="0"/>
    <x v="0"/>
    <x v="0"/>
    <x v="2"/>
    <n v="800"/>
    <x v="4"/>
    <n v="2400"/>
    <x v="559"/>
    <n v="288"/>
    <x v="10"/>
  </r>
  <r>
    <n v="1827"/>
    <d v="2025-03-18T00:00:00"/>
    <x v="1"/>
    <x v="0"/>
    <x v="1"/>
    <x v="0"/>
    <x v="8"/>
    <n v="1200"/>
    <x v="3"/>
    <n v="7200"/>
    <x v="275"/>
    <n v="576"/>
    <x v="10"/>
  </r>
  <r>
    <n v="1828"/>
    <d v="2025-08-01T00:00:00"/>
    <x v="11"/>
    <x v="3"/>
    <x v="1"/>
    <x v="3"/>
    <x v="16"/>
    <n v="3500"/>
    <x v="0"/>
    <n v="38500"/>
    <x v="560"/>
    <n v="5775"/>
    <x v="6"/>
  </r>
  <r>
    <n v="1829"/>
    <d v="2025-12-12T00:00:00"/>
    <x v="10"/>
    <x v="1"/>
    <x v="2"/>
    <x v="1"/>
    <x v="14"/>
    <n v="15000"/>
    <x v="1"/>
    <n v="240000"/>
    <x v="561"/>
    <n v="12000"/>
    <x v="8"/>
  </r>
  <r>
    <n v="1830"/>
    <d v="2025-01-12T00:00:00"/>
    <x v="3"/>
    <x v="0"/>
    <x v="2"/>
    <x v="7"/>
    <x v="9"/>
    <n v="800"/>
    <x v="1"/>
    <n v="1600"/>
    <x v="255"/>
    <n v="80"/>
    <x v="2"/>
  </r>
  <r>
    <n v="1831"/>
    <d v="2025-11-19T00:00:00"/>
    <x v="5"/>
    <x v="1"/>
    <x v="2"/>
    <x v="2"/>
    <x v="9"/>
    <n v="11000"/>
    <x v="4"/>
    <n v="22000"/>
    <x v="562"/>
    <n v="2640"/>
    <x v="0"/>
  </r>
  <r>
    <n v="1832"/>
    <d v="2025-03-27T00:00:00"/>
    <x v="4"/>
    <x v="0"/>
    <x v="3"/>
    <x v="2"/>
    <x v="8"/>
    <n v="14000"/>
    <x v="4"/>
    <n v="84000"/>
    <x v="356"/>
    <n v="10080"/>
    <x v="10"/>
  </r>
  <r>
    <n v="1833"/>
    <d v="2025-12-05T00:00:00"/>
    <x v="13"/>
    <x v="0"/>
    <x v="2"/>
    <x v="3"/>
    <x v="18"/>
    <n v="42000"/>
    <x v="5"/>
    <n v="420000"/>
    <x v="563"/>
    <n v="0"/>
    <x v="8"/>
  </r>
  <r>
    <n v="1834"/>
    <d v="2025-11-07T00:00:00"/>
    <x v="10"/>
    <x v="1"/>
    <x v="2"/>
    <x v="1"/>
    <x v="14"/>
    <n v="15000"/>
    <x v="1"/>
    <n v="240000"/>
    <x v="561"/>
    <n v="12000"/>
    <x v="0"/>
  </r>
  <r>
    <n v="1835"/>
    <d v="2025-11-04T00:00:00"/>
    <x v="1"/>
    <x v="0"/>
    <x v="0"/>
    <x v="7"/>
    <x v="10"/>
    <n v="1200"/>
    <x v="1"/>
    <n v="22800"/>
    <x v="564"/>
    <n v="1140"/>
    <x v="0"/>
  </r>
  <r>
    <n v="1836"/>
    <d v="2025-12-18T00:00:00"/>
    <x v="9"/>
    <x v="0"/>
    <x v="1"/>
    <x v="0"/>
    <x v="17"/>
    <n v="2500"/>
    <x v="4"/>
    <n v="37500"/>
    <x v="509"/>
    <n v="4500"/>
    <x v="8"/>
  </r>
  <r>
    <n v="1837"/>
    <d v="2025-07-13T00:00:00"/>
    <x v="8"/>
    <x v="1"/>
    <x v="1"/>
    <x v="0"/>
    <x v="19"/>
    <n v="8500"/>
    <x v="5"/>
    <n v="42500"/>
    <x v="565"/>
    <n v="0"/>
    <x v="5"/>
  </r>
  <r>
    <n v="1838"/>
    <d v="2025-09-25T00:00:00"/>
    <x v="13"/>
    <x v="0"/>
    <x v="3"/>
    <x v="7"/>
    <x v="13"/>
    <n v="42000"/>
    <x v="0"/>
    <n v="714000"/>
    <x v="512"/>
    <n v="107100"/>
    <x v="9"/>
  </r>
  <r>
    <n v="1839"/>
    <d v="2025-11-07T00:00:00"/>
    <x v="0"/>
    <x v="0"/>
    <x v="1"/>
    <x v="5"/>
    <x v="8"/>
    <n v="18000"/>
    <x v="2"/>
    <n v="108000"/>
    <x v="367"/>
    <n v="10800"/>
    <x v="0"/>
  </r>
  <r>
    <n v="1840"/>
    <d v="2025-02-17T00:00:00"/>
    <x v="10"/>
    <x v="1"/>
    <x v="1"/>
    <x v="1"/>
    <x v="19"/>
    <n v="15000"/>
    <x v="4"/>
    <n v="75000"/>
    <x v="566"/>
    <n v="9000"/>
    <x v="7"/>
  </r>
  <r>
    <n v="1841"/>
    <d v="2025-09-25T00:00:00"/>
    <x v="8"/>
    <x v="1"/>
    <x v="3"/>
    <x v="0"/>
    <x v="5"/>
    <n v="8500"/>
    <x v="5"/>
    <n v="102000"/>
    <x v="567"/>
    <n v="0"/>
    <x v="9"/>
  </r>
  <r>
    <n v="1842"/>
    <d v="2025-09-04T00:00:00"/>
    <x v="11"/>
    <x v="3"/>
    <x v="1"/>
    <x v="1"/>
    <x v="11"/>
    <n v="3500"/>
    <x v="3"/>
    <n v="45500"/>
    <x v="568"/>
    <n v="3640"/>
    <x v="9"/>
  </r>
  <r>
    <n v="1843"/>
    <d v="2025-03-10T00:00:00"/>
    <x v="4"/>
    <x v="0"/>
    <x v="1"/>
    <x v="6"/>
    <x v="14"/>
    <n v="14000"/>
    <x v="1"/>
    <n v="224000"/>
    <x v="569"/>
    <n v="11200"/>
    <x v="10"/>
  </r>
  <r>
    <n v="1844"/>
    <d v="2025-11-03T00:00:00"/>
    <x v="12"/>
    <x v="3"/>
    <x v="0"/>
    <x v="0"/>
    <x v="3"/>
    <n v="1800"/>
    <x v="2"/>
    <n v="32400"/>
    <x v="570"/>
    <n v="3240"/>
    <x v="0"/>
  </r>
  <r>
    <n v="1845"/>
    <d v="2025-01-03T00:00:00"/>
    <x v="14"/>
    <x v="2"/>
    <x v="1"/>
    <x v="2"/>
    <x v="0"/>
    <n v="180"/>
    <x v="4"/>
    <n v="180"/>
    <x v="571"/>
    <n v="21.599999999999994"/>
    <x v="2"/>
  </r>
  <r>
    <n v="1846"/>
    <d v="2025-07-12T00:00:00"/>
    <x v="7"/>
    <x v="2"/>
    <x v="0"/>
    <x v="1"/>
    <x v="4"/>
    <n v="250"/>
    <x v="0"/>
    <n v="1750"/>
    <x v="187"/>
    <n v="262.5"/>
    <x v="5"/>
  </r>
  <r>
    <n v="1847"/>
    <d v="2025-07-05T00:00:00"/>
    <x v="0"/>
    <x v="0"/>
    <x v="0"/>
    <x v="6"/>
    <x v="19"/>
    <n v="18000"/>
    <x v="2"/>
    <n v="90000"/>
    <x v="438"/>
    <n v="9000"/>
    <x v="5"/>
  </r>
  <r>
    <n v="1848"/>
    <d v="2025-10-02T00:00:00"/>
    <x v="8"/>
    <x v="1"/>
    <x v="0"/>
    <x v="1"/>
    <x v="10"/>
    <n v="8500"/>
    <x v="3"/>
    <n v="161500"/>
    <x v="112"/>
    <n v="12920"/>
    <x v="3"/>
  </r>
  <r>
    <n v="1849"/>
    <d v="2025-04-15T00:00:00"/>
    <x v="8"/>
    <x v="1"/>
    <x v="3"/>
    <x v="7"/>
    <x v="3"/>
    <n v="8500"/>
    <x v="4"/>
    <n v="153000"/>
    <x v="572"/>
    <n v="18360"/>
    <x v="1"/>
  </r>
  <r>
    <n v="1850"/>
    <d v="2025-07-09T00:00:00"/>
    <x v="5"/>
    <x v="1"/>
    <x v="0"/>
    <x v="6"/>
    <x v="3"/>
    <n v="11000"/>
    <x v="2"/>
    <n v="198000"/>
    <x v="138"/>
    <n v="19800"/>
    <x v="5"/>
  </r>
  <r>
    <n v="1851"/>
    <d v="2025-10-23T00:00:00"/>
    <x v="9"/>
    <x v="0"/>
    <x v="2"/>
    <x v="5"/>
    <x v="11"/>
    <n v="2500"/>
    <x v="0"/>
    <n v="32500"/>
    <x v="573"/>
    <n v="4875"/>
    <x v="3"/>
  </r>
  <r>
    <n v="1852"/>
    <d v="2025-04-28T00:00:00"/>
    <x v="10"/>
    <x v="1"/>
    <x v="2"/>
    <x v="1"/>
    <x v="8"/>
    <n v="15000"/>
    <x v="5"/>
    <n v="90000"/>
    <x v="268"/>
    <n v="0"/>
    <x v="1"/>
  </r>
  <r>
    <n v="1853"/>
    <d v="2025-06-23T00:00:00"/>
    <x v="11"/>
    <x v="3"/>
    <x v="1"/>
    <x v="7"/>
    <x v="3"/>
    <n v="3500"/>
    <x v="4"/>
    <n v="63000"/>
    <x v="574"/>
    <n v="7560"/>
    <x v="11"/>
  </r>
  <r>
    <n v="1854"/>
    <d v="2025-07-19T00:00:00"/>
    <x v="7"/>
    <x v="2"/>
    <x v="2"/>
    <x v="3"/>
    <x v="0"/>
    <n v="250"/>
    <x v="5"/>
    <n v="250"/>
    <x v="575"/>
    <n v="0"/>
    <x v="5"/>
  </r>
  <r>
    <n v="1855"/>
    <d v="2025-11-04T00:00:00"/>
    <x v="8"/>
    <x v="1"/>
    <x v="0"/>
    <x v="0"/>
    <x v="2"/>
    <n v="8500"/>
    <x v="5"/>
    <n v="25500"/>
    <x v="576"/>
    <n v="0"/>
    <x v="0"/>
  </r>
  <r>
    <n v="1856"/>
    <d v="2025-07-09T00:00:00"/>
    <x v="0"/>
    <x v="0"/>
    <x v="3"/>
    <x v="1"/>
    <x v="12"/>
    <n v="18000"/>
    <x v="5"/>
    <n v="360000"/>
    <x v="577"/>
    <n v="0"/>
    <x v="5"/>
  </r>
  <r>
    <n v="1857"/>
    <d v="2025-11-11T00:00:00"/>
    <x v="7"/>
    <x v="2"/>
    <x v="1"/>
    <x v="7"/>
    <x v="13"/>
    <n v="250"/>
    <x v="3"/>
    <n v="4250"/>
    <x v="273"/>
    <n v="340"/>
    <x v="0"/>
  </r>
  <r>
    <n v="1858"/>
    <d v="2025-11-24T00:00:00"/>
    <x v="10"/>
    <x v="1"/>
    <x v="2"/>
    <x v="6"/>
    <x v="17"/>
    <n v="15000"/>
    <x v="5"/>
    <n v="225000"/>
    <x v="554"/>
    <n v="0"/>
    <x v="0"/>
  </r>
  <r>
    <n v="1859"/>
    <d v="2025-04-10T00:00:00"/>
    <x v="2"/>
    <x v="0"/>
    <x v="2"/>
    <x v="7"/>
    <x v="12"/>
    <n v="55000"/>
    <x v="4"/>
    <n v="1100000"/>
    <x v="442"/>
    <n v="132000"/>
    <x v="1"/>
  </r>
  <r>
    <n v="1860"/>
    <d v="2025-12-12T00:00:00"/>
    <x v="2"/>
    <x v="0"/>
    <x v="1"/>
    <x v="7"/>
    <x v="5"/>
    <n v="55000"/>
    <x v="1"/>
    <n v="660000"/>
    <x v="192"/>
    <n v="33000"/>
    <x v="8"/>
  </r>
  <r>
    <n v="1861"/>
    <d v="2025-02-14T00:00:00"/>
    <x v="4"/>
    <x v="0"/>
    <x v="3"/>
    <x v="1"/>
    <x v="11"/>
    <n v="14000"/>
    <x v="3"/>
    <n v="182000"/>
    <x v="98"/>
    <n v="14560"/>
    <x v="7"/>
  </r>
  <r>
    <n v="1862"/>
    <d v="2025-10-28T00:00:00"/>
    <x v="3"/>
    <x v="0"/>
    <x v="1"/>
    <x v="5"/>
    <x v="13"/>
    <n v="800"/>
    <x v="5"/>
    <n v="13600"/>
    <x v="211"/>
    <n v="0"/>
    <x v="3"/>
  </r>
  <r>
    <n v="1863"/>
    <d v="2025-10-09T00:00:00"/>
    <x v="4"/>
    <x v="0"/>
    <x v="0"/>
    <x v="4"/>
    <x v="3"/>
    <n v="14000"/>
    <x v="4"/>
    <n v="252000"/>
    <x v="261"/>
    <n v="30240"/>
    <x v="3"/>
  </r>
  <r>
    <n v="1864"/>
    <d v="2025-05-22T00:00:00"/>
    <x v="3"/>
    <x v="0"/>
    <x v="3"/>
    <x v="1"/>
    <x v="12"/>
    <n v="800"/>
    <x v="1"/>
    <n v="16000"/>
    <x v="578"/>
    <n v="800"/>
    <x v="4"/>
  </r>
  <r>
    <n v="1865"/>
    <d v="2025-10-22T00:00:00"/>
    <x v="2"/>
    <x v="0"/>
    <x v="3"/>
    <x v="5"/>
    <x v="7"/>
    <n v="55000"/>
    <x v="1"/>
    <n v="495000"/>
    <x v="455"/>
    <n v="24750"/>
    <x v="3"/>
  </r>
  <r>
    <n v="1866"/>
    <d v="2025-10-14T00:00:00"/>
    <x v="0"/>
    <x v="0"/>
    <x v="0"/>
    <x v="5"/>
    <x v="13"/>
    <n v="18000"/>
    <x v="3"/>
    <n v="306000"/>
    <x v="579"/>
    <n v="24480"/>
    <x v="3"/>
  </r>
  <r>
    <n v="1867"/>
    <d v="2025-09-20T00:00:00"/>
    <x v="4"/>
    <x v="0"/>
    <x v="0"/>
    <x v="3"/>
    <x v="3"/>
    <n v="14000"/>
    <x v="4"/>
    <n v="252000"/>
    <x v="261"/>
    <n v="30240"/>
    <x v="9"/>
  </r>
  <r>
    <n v="1868"/>
    <d v="2025-07-13T00:00:00"/>
    <x v="6"/>
    <x v="1"/>
    <x v="0"/>
    <x v="3"/>
    <x v="14"/>
    <n v="9000"/>
    <x v="1"/>
    <n v="144000"/>
    <x v="429"/>
    <n v="7200"/>
    <x v="5"/>
  </r>
  <r>
    <n v="1869"/>
    <d v="2025-12-15T00:00:00"/>
    <x v="10"/>
    <x v="1"/>
    <x v="3"/>
    <x v="5"/>
    <x v="10"/>
    <n v="15000"/>
    <x v="5"/>
    <n v="285000"/>
    <x v="580"/>
    <n v="0"/>
    <x v="8"/>
  </r>
  <r>
    <n v="1870"/>
    <d v="2025-05-13T00:00:00"/>
    <x v="0"/>
    <x v="0"/>
    <x v="2"/>
    <x v="0"/>
    <x v="11"/>
    <n v="18000"/>
    <x v="0"/>
    <n v="234000"/>
    <x v="581"/>
    <n v="35100"/>
    <x v="4"/>
  </r>
  <r>
    <n v="1871"/>
    <d v="2025-06-11T00:00:00"/>
    <x v="8"/>
    <x v="1"/>
    <x v="1"/>
    <x v="6"/>
    <x v="5"/>
    <n v="8500"/>
    <x v="4"/>
    <n v="102000"/>
    <x v="582"/>
    <n v="12240"/>
    <x v="11"/>
  </r>
  <r>
    <n v="1872"/>
    <d v="2025-05-08T00:00:00"/>
    <x v="4"/>
    <x v="0"/>
    <x v="0"/>
    <x v="5"/>
    <x v="2"/>
    <n v="14000"/>
    <x v="2"/>
    <n v="42000"/>
    <x v="286"/>
    <n v="4200"/>
    <x v="4"/>
  </r>
  <r>
    <n v="1873"/>
    <d v="2025-10-11T00:00:00"/>
    <x v="12"/>
    <x v="3"/>
    <x v="0"/>
    <x v="4"/>
    <x v="8"/>
    <n v="1800"/>
    <x v="2"/>
    <n v="10800"/>
    <x v="517"/>
    <n v="1080"/>
    <x v="3"/>
  </r>
  <r>
    <n v="1874"/>
    <d v="2025-04-22T00:00:00"/>
    <x v="12"/>
    <x v="3"/>
    <x v="2"/>
    <x v="0"/>
    <x v="10"/>
    <n v="1800"/>
    <x v="3"/>
    <n v="34200"/>
    <x v="583"/>
    <n v="2736"/>
    <x v="1"/>
  </r>
  <r>
    <n v="1875"/>
    <d v="2025-09-13T00:00:00"/>
    <x v="14"/>
    <x v="2"/>
    <x v="2"/>
    <x v="6"/>
    <x v="4"/>
    <n v="180"/>
    <x v="1"/>
    <n v="1260"/>
    <x v="584"/>
    <n v="63"/>
    <x v="9"/>
  </r>
  <r>
    <n v="1876"/>
    <d v="2025-04-16T00:00:00"/>
    <x v="3"/>
    <x v="0"/>
    <x v="0"/>
    <x v="7"/>
    <x v="4"/>
    <n v="800"/>
    <x v="1"/>
    <n v="5600"/>
    <x v="585"/>
    <n v="280"/>
    <x v="1"/>
  </r>
  <r>
    <n v="1877"/>
    <d v="2025-02-24T00:00:00"/>
    <x v="0"/>
    <x v="0"/>
    <x v="3"/>
    <x v="2"/>
    <x v="2"/>
    <n v="18000"/>
    <x v="0"/>
    <n v="54000"/>
    <x v="23"/>
    <n v="8100"/>
    <x v="7"/>
  </r>
  <r>
    <n v="1878"/>
    <d v="2025-10-05T00:00:00"/>
    <x v="2"/>
    <x v="0"/>
    <x v="0"/>
    <x v="3"/>
    <x v="14"/>
    <n v="55000"/>
    <x v="3"/>
    <n v="880000"/>
    <x v="114"/>
    <n v="70400"/>
    <x v="3"/>
  </r>
  <r>
    <n v="1879"/>
    <d v="2025-10-22T00:00:00"/>
    <x v="13"/>
    <x v="0"/>
    <x v="2"/>
    <x v="6"/>
    <x v="7"/>
    <n v="42000"/>
    <x v="2"/>
    <n v="378000"/>
    <x v="586"/>
    <n v="37800"/>
    <x v="3"/>
  </r>
  <r>
    <n v="1880"/>
    <d v="2025-07-23T00:00:00"/>
    <x v="3"/>
    <x v="0"/>
    <x v="1"/>
    <x v="1"/>
    <x v="10"/>
    <n v="800"/>
    <x v="1"/>
    <n v="15200"/>
    <x v="189"/>
    <n v="760"/>
    <x v="5"/>
  </r>
  <r>
    <n v="1881"/>
    <d v="2025-09-02T00:00:00"/>
    <x v="5"/>
    <x v="1"/>
    <x v="0"/>
    <x v="1"/>
    <x v="9"/>
    <n v="11000"/>
    <x v="4"/>
    <n v="22000"/>
    <x v="562"/>
    <n v="2640"/>
    <x v="9"/>
  </r>
  <r>
    <n v="1882"/>
    <d v="2025-12-18T00:00:00"/>
    <x v="11"/>
    <x v="3"/>
    <x v="1"/>
    <x v="3"/>
    <x v="8"/>
    <n v="3500"/>
    <x v="2"/>
    <n v="21000"/>
    <x v="587"/>
    <n v="2100"/>
    <x v="8"/>
  </r>
  <r>
    <n v="1883"/>
    <d v="2025-06-11T00:00:00"/>
    <x v="14"/>
    <x v="2"/>
    <x v="2"/>
    <x v="1"/>
    <x v="0"/>
    <n v="180"/>
    <x v="5"/>
    <n v="180"/>
    <x v="208"/>
    <n v="0"/>
    <x v="11"/>
  </r>
  <r>
    <n v="1884"/>
    <d v="2025-10-25T00:00:00"/>
    <x v="0"/>
    <x v="0"/>
    <x v="0"/>
    <x v="7"/>
    <x v="16"/>
    <n v="18000"/>
    <x v="3"/>
    <n v="198000"/>
    <x v="461"/>
    <n v="15840"/>
    <x v="3"/>
  </r>
  <r>
    <n v="1885"/>
    <d v="2025-10-08T00:00:00"/>
    <x v="4"/>
    <x v="0"/>
    <x v="3"/>
    <x v="4"/>
    <x v="6"/>
    <n v="14000"/>
    <x v="3"/>
    <n v="112000"/>
    <x v="124"/>
    <n v="8960"/>
    <x v="3"/>
  </r>
  <r>
    <n v="1886"/>
    <d v="2025-07-07T00:00:00"/>
    <x v="1"/>
    <x v="0"/>
    <x v="2"/>
    <x v="1"/>
    <x v="14"/>
    <n v="1200"/>
    <x v="2"/>
    <n v="19200"/>
    <x v="588"/>
    <n v="1920"/>
    <x v="5"/>
  </r>
  <r>
    <n v="1887"/>
    <d v="2025-12-25T00:00:00"/>
    <x v="11"/>
    <x v="3"/>
    <x v="3"/>
    <x v="6"/>
    <x v="5"/>
    <n v="3500"/>
    <x v="3"/>
    <n v="42000"/>
    <x v="292"/>
    <n v="3360"/>
    <x v="8"/>
  </r>
  <r>
    <n v="1888"/>
    <d v="2025-08-19T00:00:00"/>
    <x v="1"/>
    <x v="0"/>
    <x v="2"/>
    <x v="5"/>
    <x v="10"/>
    <n v="1200"/>
    <x v="1"/>
    <n v="22800"/>
    <x v="564"/>
    <n v="1140"/>
    <x v="6"/>
  </r>
  <r>
    <n v="1889"/>
    <d v="2025-05-19T00:00:00"/>
    <x v="11"/>
    <x v="3"/>
    <x v="3"/>
    <x v="1"/>
    <x v="6"/>
    <n v="3500"/>
    <x v="4"/>
    <n v="28000"/>
    <x v="330"/>
    <n v="3360"/>
    <x v="4"/>
  </r>
  <r>
    <n v="1890"/>
    <d v="2025-04-11T00:00:00"/>
    <x v="1"/>
    <x v="0"/>
    <x v="1"/>
    <x v="7"/>
    <x v="19"/>
    <n v="1200"/>
    <x v="2"/>
    <n v="6000"/>
    <x v="589"/>
    <n v="600"/>
    <x v="1"/>
  </r>
  <r>
    <n v="1891"/>
    <d v="2025-08-04T00:00:00"/>
    <x v="10"/>
    <x v="1"/>
    <x v="0"/>
    <x v="3"/>
    <x v="19"/>
    <n v="15000"/>
    <x v="0"/>
    <n v="75000"/>
    <x v="372"/>
    <n v="11250"/>
    <x v="6"/>
  </r>
  <r>
    <n v="1892"/>
    <d v="2025-06-03T00:00:00"/>
    <x v="4"/>
    <x v="0"/>
    <x v="1"/>
    <x v="1"/>
    <x v="3"/>
    <n v="14000"/>
    <x v="4"/>
    <n v="252000"/>
    <x v="261"/>
    <n v="30240"/>
    <x v="11"/>
  </r>
  <r>
    <n v="1893"/>
    <d v="2025-02-20T00:00:00"/>
    <x v="14"/>
    <x v="2"/>
    <x v="2"/>
    <x v="6"/>
    <x v="8"/>
    <n v="180"/>
    <x v="5"/>
    <n v="1080"/>
    <x v="418"/>
    <n v="0"/>
    <x v="7"/>
  </r>
  <r>
    <n v="1894"/>
    <d v="2025-09-01T00:00:00"/>
    <x v="13"/>
    <x v="0"/>
    <x v="0"/>
    <x v="6"/>
    <x v="1"/>
    <n v="42000"/>
    <x v="2"/>
    <n v="168000"/>
    <x v="488"/>
    <n v="16800"/>
    <x v="9"/>
  </r>
  <r>
    <n v="1895"/>
    <d v="2025-07-04T00:00:00"/>
    <x v="9"/>
    <x v="0"/>
    <x v="0"/>
    <x v="4"/>
    <x v="3"/>
    <n v="2500"/>
    <x v="4"/>
    <n v="45000"/>
    <x v="7"/>
    <n v="5400"/>
    <x v="5"/>
  </r>
  <r>
    <n v="1896"/>
    <d v="2025-01-11T00:00:00"/>
    <x v="8"/>
    <x v="1"/>
    <x v="2"/>
    <x v="7"/>
    <x v="1"/>
    <n v="8500"/>
    <x v="3"/>
    <n v="34000"/>
    <x v="200"/>
    <n v="2720"/>
    <x v="2"/>
  </r>
  <r>
    <n v="1897"/>
    <d v="2025-05-26T00:00:00"/>
    <x v="9"/>
    <x v="0"/>
    <x v="3"/>
    <x v="3"/>
    <x v="16"/>
    <n v="2500"/>
    <x v="0"/>
    <n v="27500"/>
    <x v="590"/>
    <n v="4125"/>
    <x v="4"/>
  </r>
  <r>
    <n v="1898"/>
    <d v="2025-02-10T00:00:00"/>
    <x v="8"/>
    <x v="1"/>
    <x v="3"/>
    <x v="7"/>
    <x v="12"/>
    <n v="8500"/>
    <x v="3"/>
    <n v="170000"/>
    <x v="591"/>
    <n v="13600"/>
    <x v="7"/>
  </r>
  <r>
    <n v="1899"/>
    <d v="2025-03-27T00:00:00"/>
    <x v="7"/>
    <x v="2"/>
    <x v="3"/>
    <x v="5"/>
    <x v="16"/>
    <n v="250"/>
    <x v="2"/>
    <n v="2750"/>
    <x v="537"/>
    <n v="275"/>
    <x v="10"/>
  </r>
  <r>
    <n v="1900"/>
    <d v="2025-02-10T00:00:00"/>
    <x v="1"/>
    <x v="0"/>
    <x v="0"/>
    <x v="4"/>
    <x v="20"/>
    <n v="1200"/>
    <x v="1"/>
    <m/>
    <x v="301"/>
    <n v="0"/>
    <x v="7"/>
  </r>
  <r>
    <n v="1901"/>
    <d v="2025-12-01T00:00:00"/>
    <x v="4"/>
    <x v="0"/>
    <x v="3"/>
    <x v="6"/>
    <x v="7"/>
    <n v="14000"/>
    <x v="4"/>
    <n v="126000"/>
    <x v="430"/>
    <n v="15120"/>
    <x v="8"/>
  </r>
  <r>
    <n v="1902"/>
    <d v="2025-08-16T00:00:00"/>
    <x v="11"/>
    <x v="3"/>
    <x v="3"/>
    <x v="1"/>
    <x v="5"/>
    <n v="3500"/>
    <x v="0"/>
    <n v="42000"/>
    <x v="592"/>
    <n v="6300"/>
    <x v="6"/>
  </r>
  <r>
    <n v="1903"/>
    <d v="2025-03-27T00:00:00"/>
    <x v="1"/>
    <x v="0"/>
    <x v="2"/>
    <x v="6"/>
    <x v="0"/>
    <n v="1200"/>
    <x v="1"/>
    <n v="1200"/>
    <x v="593"/>
    <n v="60"/>
    <x v="10"/>
  </r>
  <r>
    <n v="1904"/>
    <d v="2025-12-25T00:00:00"/>
    <x v="14"/>
    <x v="2"/>
    <x v="2"/>
    <x v="1"/>
    <x v="2"/>
    <n v="180"/>
    <x v="1"/>
    <n v="540"/>
    <x v="594"/>
    <n v="27"/>
    <x v="8"/>
  </r>
  <r>
    <n v="1905"/>
    <d v="2025-02-22T00:00:00"/>
    <x v="0"/>
    <x v="0"/>
    <x v="1"/>
    <x v="2"/>
    <x v="2"/>
    <n v="18000"/>
    <x v="2"/>
    <n v="54000"/>
    <x v="127"/>
    <n v="5400"/>
    <x v="7"/>
  </r>
  <r>
    <n v="1906"/>
    <d v="2025-07-23T00:00:00"/>
    <x v="5"/>
    <x v="1"/>
    <x v="0"/>
    <x v="7"/>
    <x v="2"/>
    <n v="11000"/>
    <x v="5"/>
    <n v="33000"/>
    <x v="509"/>
    <n v="0"/>
    <x v="5"/>
  </r>
  <r>
    <n v="1907"/>
    <d v="2025-02-13T00:00:00"/>
    <x v="7"/>
    <x v="2"/>
    <x v="2"/>
    <x v="0"/>
    <x v="11"/>
    <n v="250"/>
    <x v="3"/>
    <n v="3250"/>
    <x v="595"/>
    <n v="260"/>
    <x v="7"/>
  </r>
  <r>
    <n v="1908"/>
    <d v="2025-05-26T00:00:00"/>
    <x v="10"/>
    <x v="1"/>
    <x v="2"/>
    <x v="2"/>
    <x v="19"/>
    <n v="15000"/>
    <x v="1"/>
    <n v="75000"/>
    <x v="524"/>
    <n v="3750"/>
    <x v="4"/>
  </r>
  <r>
    <n v="1909"/>
    <d v="2025-01-18T00:00:00"/>
    <x v="7"/>
    <x v="2"/>
    <x v="3"/>
    <x v="3"/>
    <x v="5"/>
    <n v="250"/>
    <x v="3"/>
    <n v="3000"/>
    <x v="596"/>
    <n v="240"/>
    <x v="2"/>
  </r>
  <r>
    <n v="1910"/>
    <d v="2025-10-04T00:00:00"/>
    <x v="12"/>
    <x v="3"/>
    <x v="3"/>
    <x v="7"/>
    <x v="7"/>
    <n v="1800"/>
    <x v="4"/>
    <n v="16200"/>
    <x v="597"/>
    <n v="1944"/>
    <x v="3"/>
  </r>
  <r>
    <n v="1911"/>
    <d v="2025-12-24T00:00:00"/>
    <x v="5"/>
    <x v="1"/>
    <x v="3"/>
    <x v="1"/>
    <x v="8"/>
    <n v="11000"/>
    <x v="4"/>
    <n v="66000"/>
    <x v="598"/>
    <n v="7920"/>
    <x v="8"/>
  </r>
  <r>
    <n v="1912"/>
    <d v="2025-09-26T00:00:00"/>
    <x v="7"/>
    <x v="2"/>
    <x v="0"/>
    <x v="3"/>
    <x v="3"/>
    <n v="250"/>
    <x v="3"/>
    <n v="4500"/>
    <x v="599"/>
    <n v="360"/>
    <x v="9"/>
  </r>
  <r>
    <n v="1913"/>
    <d v="2025-10-04T00:00:00"/>
    <x v="3"/>
    <x v="0"/>
    <x v="0"/>
    <x v="4"/>
    <x v="2"/>
    <n v="800"/>
    <x v="2"/>
    <n v="2400"/>
    <x v="465"/>
    <n v="240"/>
    <x v="3"/>
  </r>
  <r>
    <n v="1914"/>
    <d v="2025-07-31T00:00:00"/>
    <x v="4"/>
    <x v="0"/>
    <x v="1"/>
    <x v="2"/>
    <x v="19"/>
    <n v="14000"/>
    <x v="3"/>
    <n v="70000"/>
    <x v="361"/>
    <n v="5600"/>
    <x v="5"/>
  </r>
  <r>
    <n v="1915"/>
    <d v="2025-09-25T00:00:00"/>
    <x v="13"/>
    <x v="0"/>
    <x v="0"/>
    <x v="3"/>
    <x v="19"/>
    <n v="42000"/>
    <x v="3"/>
    <n v="210000"/>
    <x v="168"/>
    <n v="16800"/>
    <x v="9"/>
  </r>
  <r>
    <n v="1916"/>
    <d v="2025-10-01T00:00:00"/>
    <x v="2"/>
    <x v="0"/>
    <x v="0"/>
    <x v="2"/>
    <x v="14"/>
    <n v="55000"/>
    <x v="2"/>
    <n v="880000"/>
    <x v="600"/>
    <n v="88000"/>
    <x v="3"/>
  </r>
  <r>
    <n v="1917"/>
    <d v="2025-08-09T00:00:00"/>
    <x v="11"/>
    <x v="3"/>
    <x v="2"/>
    <x v="2"/>
    <x v="18"/>
    <n v="3500"/>
    <x v="4"/>
    <n v="35000"/>
    <x v="491"/>
    <n v="4200"/>
    <x v="6"/>
  </r>
  <r>
    <n v="1918"/>
    <d v="2025-10-08T00:00:00"/>
    <x v="9"/>
    <x v="0"/>
    <x v="3"/>
    <x v="1"/>
    <x v="4"/>
    <n v="2500"/>
    <x v="2"/>
    <n v="17500"/>
    <x v="384"/>
    <n v="1750"/>
    <x v="3"/>
  </r>
  <r>
    <n v="1919"/>
    <d v="2025-05-08T00:00:00"/>
    <x v="1"/>
    <x v="0"/>
    <x v="2"/>
    <x v="6"/>
    <x v="11"/>
    <n v="1200"/>
    <x v="2"/>
    <n v="15600"/>
    <x v="601"/>
    <n v="1560"/>
    <x v="4"/>
  </r>
  <r>
    <n v="1920"/>
    <d v="2025-02-10T00:00:00"/>
    <x v="8"/>
    <x v="1"/>
    <x v="0"/>
    <x v="6"/>
    <x v="6"/>
    <n v="8500"/>
    <x v="4"/>
    <n v="68000"/>
    <x v="552"/>
    <n v="8160"/>
    <x v="7"/>
  </r>
  <r>
    <n v="1921"/>
    <d v="2025-11-29T00:00:00"/>
    <x v="14"/>
    <x v="2"/>
    <x v="3"/>
    <x v="0"/>
    <x v="3"/>
    <n v="180"/>
    <x v="3"/>
    <n v="3240"/>
    <x v="602"/>
    <n v="259.19999999999982"/>
    <x v="0"/>
  </r>
  <r>
    <n v="1922"/>
    <d v="2025-02-05T00:00:00"/>
    <x v="1"/>
    <x v="0"/>
    <x v="1"/>
    <x v="3"/>
    <x v="19"/>
    <n v="1200"/>
    <x v="3"/>
    <n v="6000"/>
    <x v="603"/>
    <n v="480"/>
    <x v="7"/>
  </r>
  <r>
    <n v="1923"/>
    <d v="2025-11-13T00:00:00"/>
    <x v="10"/>
    <x v="1"/>
    <x v="3"/>
    <x v="0"/>
    <x v="7"/>
    <n v="15000"/>
    <x v="0"/>
    <n v="135000"/>
    <x v="130"/>
    <n v="20250"/>
    <x v="0"/>
  </r>
  <r>
    <n v="1924"/>
    <d v="2025-06-14T00:00:00"/>
    <x v="2"/>
    <x v="0"/>
    <x v="1"/>
    <x v="7"/>
    <x v="19"/>
    <n v="55000"/>
    <x v="5"/>
    <n v="275000"/>
    <x v="604"/>
    <n v="0"/>
    <x v="11"/>
  </r>
  <r>
    <n v="1925"/>
    <d v="2025-02-22T00:00:00"/>
    <x v="4"/>
    <x v="0"/>
    <x v="3"/>
    <x v="2"/>
    <x v="7"/>
    <n v="14000"/>
    <x v="1"/>
    <n v="126000"/>
    <x v="263"/>
    <n v="6300"/>
    <x v="7"/>
  </r>
  <r>
    <n v="1926"/>
    <d v="2025-04-30T00:00:00"/>
    <x v="0"/>
    <x v="0"/>
    <x v="3"/>
    <x v="0"/>
    <x v="19"/>
    <n v="18000"/>
    <x v="5"/>
    <n v="90000"/>
    <x v="268"/>
    <n v="0"/>
    <x v="1"/>
  </r>
  <r>
    <n v="1927"/>
    <d v="2025-06-25T00:00:00"/>
    <x v="8"/>
    <x v="1"/>
    <x v="0"/>
    <x v="3"/>
    <x v="18"/>
    <n v="8500"/>
    <x v="2"/>
    <n v="85000"/>
    <x v="293"/>
    <n v="8500"/>
    <x v="11"/>
  </r>
  <r>
    <n v="1928"/>
    <d v="2025-12-23T00:00:00"/>
    <x v="11"/>
    <x v="3"/>
    <x v="1"/>
    <x v="7"/>
    <x v="9"/>
    <n v="3500"/>
    <x v="3"/>
    <n v="7000"/>
    <x v="605"/>
    <n v="560"/>
    <x v="8"/>
  </r>
  <r>
    <n v="1929"/>
    <d v="2025-01-29T00:00:00"/>
    <x v="4"/>
    <x v="0"/>
    <x v="3"/>
    <x v="7"/>
    <x v="11"/>
    <n v="14000"/>
    <x v="5"/>
    <n v="182000"/>
    <x v="606"/>
    <n v="0"/>
    <x v="2"/>
  </r>
  <r>
    <n v="1930"/>
    <d v="2025-04-09T00:00:00"/>
    <x v="12"/>
    <x v="3"/>
    <x v="1"/>
    <x v="5"/>
    <x v="7"/>
    <n v="1800"/>
    <x v="2"/>
    <n v="16200"/>
    <x v="607"/>
    <n v="1620"/>
    <x v="1"/>
  </r>
  <r>
    <n v="1931"/>
    <d v="2025-05-08T00:00:00"/>
    <x v="8"/>
    <x v="1"/>
    <x v="1"/>
    <x v="0"/>
    <x v="17"/>
    <n v="8500"/>
    <x v="1"/>
    <n v="127500"/>
    <x v="608"/>
    <n v="6375"/>
    <x v="4"/>
  </r>
  <r>
    <n v="1932"/>
    <d v="2025-08-24T00:00:00"/>
    <x v="14"/>
    <x v="2"/>
    <x v="2"/>
    <x v="3"/>
    <x v="1"/>
    <n v="180"/>
    <x v="4"/>
    <n v="720"/>
    <x v="609"/>
    <n v="86.399999999999977"/>
    <x v="6"/>
  </r>
  <r>
    <n v="1933"/>
    <d v="2025-07-19T00:00:00"/>
    <x v="7"/>
    <x v="2"/>
    <x v="2"/>
    <x v="2"/>
    <x v="18"/>
    <n v="250"/>
    <x v="3"/>
    <n v="2500"/>
    <x v="222"/>
    <n v="200"/>
    <x v="5"/>
  </r>
  <r>
    <n v="1934"/>
    <d v="2025-10-09T00:00:00"/>
    <x v="5"/>
    <x v="1"/>
    <x v="3"/>
    <x v="6"/>
    <x v="1"/>
    <n v="11000"/>
    <x v="3"/>
    <n v="44000"/>
    <x v="281"/>
    <n v="3520"/>
    <x v="3"/>
  </r>
  <r>
    <n v="1935"/>
    <d v="2025-04-12T00:00:00"/>
    <x v="9"/>
    <x v="0"/>
    <x v="2"/>
    <x v="5"/>
    <x v="9"/>
    <n v="2500"/>
    <x v="0"/>
    <n v="5000"/>
    <x v="232"/>
    <n v="750"/>
    <x v="1"/>
  </r>
  <r>
    <n v="1936"/>
    <d v="2025-05-01T00:00:00"/>
    <x v="7"/>
    <x v="2"/>
    <x v="1"/>
    <x v="7"/>
    <x v="15"/>
    <n v="250"/>
    <x v="3"/>
    <n v="3500"/>
    <x v="37"/>
    <n v="280"/>
    <x v="4"/>
  </r>
  <r>
    <n v="1937"/>
    <d v="2025-05-22T00:00:00"/>
    <x v="6"/>
    <x v="1"/>
    <x v="2"/>
    <x v="2"/>
    <x v="1"/>
    <n v="9000"/>
    <x v="2"/>
    <n v="36000"/>
    <x v="462"/>
    <n v="3600"/>
    <x v="4"/>
  </r>
  <r>
    <n v="1938"/>
    <d v="2025-01-22T00:00:00"/>
    <x v="6"/>
    <x v="1"/>
    <x v="2"/>
    <x v="4"/>
    <x v="14"/>
    <n v="9000"/>
    <x v="0"/>
    <n v="144000"/>
    <x v="42"/>
    <n v="21600"/>
    <x v="2"/>
  </r>
  <r>
    <n v="1939"/>
    <d v="2025-02-15T00:00:00"/>
    <x v="3"/>
    <x v="0"/>
    <x v="1"/>
    <x v="4"/>
    <x v="8"/>
    <n v="800"/>
    <x v="2"/>
    <n v="4800"/>
    <x v="610"/>
    <n v="480"/>
    <x v="7"/>
  </r>
  <r>
    <n v="1940"/>
    <d v="2025-11-17T00:00:00"/>
    <x v="2"/>
    <x v="0"/>
    <x v="2"/>
    <x v="5"/>
    <x v="9"/>
    <n v="55000"/>
    <x v="3"/>
    <n v="110000"/>
    <x v="269"/>
    <n v="8800"/>
    <x v="0"/>
  </r>
  <r>
    <n v="1941"/>
    <d v="2025-03-06T00:00:00"/>
    <x v="10"/>
    <x v="1"/>
    <x v="0"/>
    <x v="3"/>
    <x v="6"/>
    <n v="15000"/>
    <x v="3"/>
    <n v="120000"/>
    <x v="611"/>
    <n v="9600"/>
    <x v="10"/>
  </r>
  <r>
    <n v="1942"/>
    <d v="2025-04-09T00:00:00"/>
    <x v="2"/>
    <x v="0"/>
    <x v="2"/>
    <x v="6"/>
    <x v="11"/>
    <n v="55000"/>
    <x v="3"/>
    <n v="715000"/>
    <x v="251"/>
    <n v="57200"/>
    <x v="1"/>
  </r>
  <r>
    <n v="1943"/>
    <d v="2025-01-21T00:00:00"/>
    <x v="10"/>
    <x v="1"/>
    <x v="0"/>
    <x v="3"/>
    <x v="17"/>
    <n v="15000"/>
    <x v="4"/>
    <n v="225000"/>
    <x v="612"/>
    <n v="27000"/>
    <x v="2"/>
  </r>
  <r>
    <n v="1944"/>
    <d v="2025-04-08T00:00:00"/>
    <x v="6"/>
    <x v="1"/>
    <x v="0"/>
    <x v="4"/>
    <x v="8"/>
    <n v="9000"/>
    <x v="4"/>
    <n v="54000"/>
    <x v="613"/>
    <n v="6480"/>
    <x v="1"/>
  </r>
  <r>
    <n v="1945"/>
    <d v="2025-08-28T00:00:00"/>
    <x v="4"/>
    <x v="0"/>
    <x v="2"/>
    <x v="5"/>
    <x v="12"/>
    <n v="14000"/>
    <x v="4"/>
    <n v="280000"/>
    <x v="614"/>
    <n v="33600"/>
    <x v="6"/>
  </r>
  <r>
    <n v="1946"/>
    <d v="2025-09-29T00:00:00"/>
    <x v="1"/>
    <x v="0"/>
    <x v="0"/>
    <x v="4"/>
    <x v="17"/>
    <n v="1200"/>
    <x v="3"/>
    <n v="18000"/>
    <x v="173"/>
    <n v="1440"/>
    <x v="9"/>
  </r>
  <r>
    <n v="1947"/>
    <d v="2025-08-21T00:00:00"/>
    <x v="2"/>
    <x v="0"/>
    <x v="2"/>
    <x v="2"/>
    <x v="13"/>
    <n v="55000"/>
    <x v="2"/>
    <n v="935000"/>
    <x v="615"/>
    <n v="93500"/>
    <x v="6"/>
  </r>
  <r>
    <n v="1948"/>
    <d v="2025-11-14T00:00:00"/>
    <x v="13"/>
    <x v="0"/>
    <x v="2"/>
    <x v="4"/>
    <x v="5"/>
    <n v="42000"/>
    <x v="4"/>
    <n v="504000"/>
    <x v="616"/>
    <n v="60480"/>
    <x v="0"/>
  </r>
  <r>
    <n v="1949"/>
    <d v="2025-02-02T00:00:00"/>
    <x v="7"/>
    <x v="2"/>
    <x v="2"/>
    <x v="3"/>
    <x v="3"/>
    <n v="250"/>
    <x v="2"/>
    <n v="4500"/>
    <x v="323"/>
    <n v="450"/>
    <x v="7"/>
  </r>
  <r>
    <n v="1950"/>
    <d v="2024-06-20T00:00:00"/>
    <x v="1"/>
    <x v="0"/>
    <x v="0"/>
    <x v="1"/>
    <x v="12"/>
    <n v="1200"/>
    <x v="3"/>
    <n v="24000"/>
    <x v="617"/>
    <n v="1920"/>
    <x v="11"/>
  </r>
  <r>
    <n v="1951"/>
    <d v="2025-11-25T00:00:00"/>
    <x v="9"/>
    <x v="0"/>
    <x v="1"/>
    <x v="2"/>
    <x v="1"/>
    <n v="2500"/>
    <x v="5"/>
    <n v="10000"/>
    <x v="363"/>
    <n v="0"/>
    <x v="0"/>
  </r>
  <r>
    <n v="1952"/>
    <d v="2025-03-08T00:00:00"/>
    <x v="1"/>
    <x v="0"/>
    <x v="1"/>
    <x v="3"/>
    <x v="9"/>
    <n v="1200"/>
    <x v="1"/>
    <n v="2400"/>
    <x v="618"/>
    <n v="120"/>
    <x v="10"/>
  </r>
  <r>
    <n v="1953"/>
    <d v="2025-04-09T00:00:00"/>
    <x v="0"/>
    <x v="0"/>
    <x v="3"/>
    <x v="3"/>
    <x v="9"/>
    <n v="18000"/>
    <x v="4"/>
    <n v="36000"/>
    <x v="151"/>
    <n v="4320"/>
    <x v="1"/>
  </r>
  <r>
    <n v="1954"/>
    <d v="2025-09-27T00:00:00"/>
    <x v="6"/>
    <x v="1"/>
    <x v="1"/>
    <x v="4"/>
    <x v="10"/>
    <n v="9000"/>
    <x v="3"/>
    <n v="171000"/>
    <x v="619"/>
    <n v="13680"/>
    <x v="9"/>
  </r>
  <r>
    <n v="1955"/>
    <d v="2025-04-24T00:00:00"/>
    <x v="6"/>
    <x v="1"/>
    <x v="2"/>
    <x v="3"/>
    <x v="2"/>
    <n v="9000"/>
    <x v="5"/>
    <n v="27000"/>
    <x v="320"/>
    <n v="0"/>
    <x v="1"/>
  </r>
  <r>
    <n v="1956"/>
    <d v="2025-02-10T00:00:00"/>
    <x v="10"/>
    <x v="1"/>
    <x v="3"/>
    <x v="4"/>
    <x v="9"/>
    <n v="15000"/>
    <x v="3"/>
    <n v="30000"/>
    <x v="331"/>
    <n v="2400"/>
    <x v="7"/>
  </r>
  <r>
    <n v="1957"/>
    <d v="2025-12-29T00:00:00"/>
    <x v="2"/>
    <x v="0"/>
    <x v="1"/>
    <x v="5"/>
    <x v="12"/>
    <n v="55000"/>
    <x v="3"/>
    <n v="1100000"/>
    <x v="620"/>
    <n v="88000"/>
    <x v="8"/>
  </r>
  <r>
    <n v="1958"/>
    <d v="2025-06-05T00:00:00"/>
    <x v="0"/>
    <x v="0"/>
    <x v="1"/>
    <x v="5"/>
    <x v="4"/>
    <n v="18000"/>
    <x v="4"/>
    <n v="126000"/>
    <x v="430"/>
    <n v="15120"/>
    <x v="11"/>
  </r>
  <r>
    <n v="1959"/>
    <d v="2025-04-29T00:00:00"/>
    <x v="5"/>
    <x v="1"/>
    <x v="2"/>
    <x v="0"/>
    <x v="11"/>
    <n v="11000"/>
    <x v="1"/>
    <n v="143000"/>
    <x v="621"/>
    <n v="7150"/>
    <x v="1"/>
  </r>
  <r>
    <n v="1960"/>
    <d v="2025-10-19T00:00:00"/>
    <x v="7"/>
    <x v="2"/>
    <x v="3"/>
    <x v="5"/>
    <x v="8"/>
    <n v="250"/>
    <x v="4"/>
    <n v="1500"/>
    <x v="12"/>
    <n v="180"/>
    <x v="3"/>
  </r>
  <r>
    <n v="1961"/>
    <d v="2025-11-23T00:00:00"/>
    <x v="6"/>
    <x v="1"/>
    <x v="3"/>
    <x v="1"/>
    <x v="5"/>
    <n v="9000"/>
    <x v="0"/>
    <n v="108000"/>
    <x v="622"/>
    <n v="16200"/>
    <x v="0"/>
  </r>
  <r>
    <n v="1962"/>
    <d v="2025-02-23T00:00:00"/>
    <x v="1"/>
    <x v="0"/>
    <x v="3"/>
    <x v="4"/>
    <x v="8"/>
    <n v="1200"/>
    <x v="4"/>
    <n v="7200"/>
    <x v="147"/>
    <n v="864"/>
    <x v="7"/>
  </r>
  <r>
    <n v="1963"/>
    <d v="2025-12-03T00:00:00"/>
    <x v="1"/>
    <x v="0"/>
    <x v="3"/>
    <x v="4"/>
    <x v="3"/>
    <n v="1200"/>
    <x v="4"/>
    <n v="21600"/>
    <x v="623"/>
    <n v="2592"/>
    <x v="8"/>
  </r>
  <r>
    <n v="1964"/>
    <d v="2025-06-11T00:00:00"/>
    <x v="5"/>
    <x v="1"/>
    <x v="3"/>
    <x v="1"/>
    <x v="16"/>
    <n v="11000"/>
    <x v="3"/>
    <n v="121000"/>
    <x v="345"/>
    <n v="9680"/>
    <x v="11"/>
  </r>
  <r>
    <n v="1965"/>
    <d v="2025-06-15T00:00:00"/>
    <x v="6"/>
    <x v="1"/>
    <x v="2"/>
    <x v="1"/>
    <x v="6"/>
    <n v="9000"/>
    <x v="4"/>
    <n v="72000"/>
    <x v="326"/>
    <n v="8640"/>
    <x v="11"/>
  </r>
  <r>
    <n v="1966"/>
    <d v="2025-10-09T00:00:00"/>
    <x v="12"/>
    <x v="3"/>
    <x v="3"/>
    <x v="3"/>
    <x v="7"/>
    <n v="1800"/>
    <x v="3"/>
    <n v="16200"/>
    <x v="470"/>
    <n v="1296"/>
    <x v="3"/>
  </r>
  <r>
    <n v="1967"/>
    <d v="2025-07-23T00:00:00"/>
    <x v="2"/>
    <x v="0"/>
    <x v="1"/>
    <x v="7"/>
    <x v="9"/>
    <n v="55000"/>
    <x v="3"/>
    <n v="110000"/>
    <x v="269"/>
    <n v="8800"/>
    <x v="5"/>
  </r>
  <r>
    <n v="1968"/>
    <d v="2025-06-04T00:00:00"/>
    <x v="2"/>
    <x v="0"/>
    <x v="2"/>
    <x v="4"/>
    <x v="18"/>
    <n v="55000"/>
    <x v="1"/>
    <n v="550000"/>
    <x v="624"/>
    <n v="27500"/>
    <x v="11"/>
  </r>
  <r>
    <n v="1969"/>
    <d v="2025-01-12T00:00:00"/>
    <x v="11"/>
    <x v="3"/>
    <x v="2"/>
    <x v="5"/>
    <x v="7"/>
    <n v="3500"/>
    <x v="4"/>
    <n v="31500"/>
    <x v="625"/>
    <n v="3780"/>
    <x v="2"/>
  </r>
  <r>
    <n v="1970"/>
    <d v="2025-01-20T00:00:00"/>
    <x v="10"/>
    <x v="1"/>
    <x v="2"/>
    <x v="6"/>
    <x v="5"/>
    <n v="15000"/>
    <x v="1"/>
    <n v="180000"/>
    <x v="324"/>
    <n v="9000"/>
    <x v="2"/>
  </r>
  <r>
    <n v="1971"/>
    <d v="2025-07-07T00:00:00"/>
    <x v="12"/>
    <x v="3"/>
    <x v="2"/>
    <x v="6"/>
    <x v="10"/>
    <n v="1800"/>
    <x v="1"/>
    <n v="34200"/>
    <x v="84"/>
    <n v="1710"/>
    <x v="5"/>
  </r>
  <r>
    <n v="1972"/>
    <d v="2025-06-03T00:00:00"/>
    <x v="0"/>
    <x v="0"/>
    <x v="2"/>
    <x v="5"/>
    <x v="10"/>
    <n v="18000"/>
    <x v="2"/>
    <n v="342000"/>
    <x v="626"/>
    <n v="34200"/>
    <x v="11"/>
  </r>
  <r>
    <n v="1973"/>
    <d v="2025-06-16T00:00:00"/>
    <x v="11"/>
    <x v="3"/>
    <x v="3"/>
    <x v="5"/>
    <x v="14"/>
    <n v="3500"/>
    <x v="1"/>
    <n v="56000"/>
    <x v="627"/>
    <n v="2800"/>
    <x v="11"/>
  </r>
  <r>
    <n v="1974"/>
    <d v="2025-11-01T00:00:00"/>
    <x v="7"/>
    <x v="2"/>
    <x v="3"/>
    <x v="5"/>
    <x v="18"/>
    <n v="250"/>
    <x v="5"/>
    <n v="2500"/>
    <x v="628"/>
    <n v="0"/>
    <x v="0"/>
  </r>
  <r>
    <n v="1975"/>
    <d v="2025-01-29T00:00:00"/>
    <x v="12"/>
    <x v="3"/>
    <x v="3"/>
    <x v="1"/>
    <x v="16"/>
    <n v="1800"/>
    <x v="3"/>
    <n v="19800"/>
    <x v="425"/>
    <n v="1584"/>
    <x v="2"/>
  </r>
  <r>
    <n v="1976"/>
    <d v="2025-03-03T00:00:00"/>
    <x v="13"/>
    <x v="0"/>
    <x v="1"/>
    <x v="1"/>
    <x v="6"/>
    <n v="42000"/>
    <x v="0"/>
    <n v="336000"/>
    <x v="629"/>
    <n v="50400"/>
    <x v="10"/>
  </r>
  <r>
    <n v="1977"/>
    <d v="2025-01-28T00:00:00"/>
    <x v="4"/>
    <x v="0"/>
    <x v="0"/>
    <x v="7"/>
    <x v="13"/>
    <n v="14000"/>
    <x v="5"/>
    <n v="238000"/>
    <x v="630"/>
    <n v="0"/>
    <x v="2"/>
  </r>
  <r>
    <n v="1978"/>
    <d v="2025-06-17T00:00:00"/>
    <x v="5"/>
    <x v="1"/>
    <x v="1"/>
    <x v="1"/>
    <x v="6"/>
    <n v="11000"/>
    <x v="1"/>
    <n v="88000"/>
    <x v="631"/>
    <n v="4400"/>
    <x v="11"/>
  </r>
  <r>
    <n v="1979"/>
    <d v="2025-08-17T00:00:00"/>
    <x v="11"/>
    <x v="3"/>
    <x v="1"/>
    <x v="0"/>
    <x v="12"/>
    <n v="3500"/>
    <x v="4"/>
    <n v="70000"/>
    <x v="205"/>
    <n v="8400"/>
    <x v="6"/>
  </r>
  <r>
    <n v="1980"/>
    <d v="2025-08-10T00:00:00"/>
    <x v="4"/>
    <x v="0"/>
    <x v="2"/>
    <x v="4"/>
    <x v="11"/>
    <n v="14000"/>
    <x v="1"/>
    <n v="182000"/>
    <x v="468"/>
    <n v="9100"/>
    <x v="6"/>
  </r>
  <r>
    <n v="1981"/>
    <d v="2025-02-12T00:00:00"/>
    <x v="10"/>
    <x v="1"/>
    <x v="1"/>
    <x v="1"/>
    <x v="10"/>
    <n v="15000"/>
    <x v="0"/>
    <n v="285000"/>
    <x v="632"/>
    <n v="42750"/>
    <x v="7"/>
  </r>
  <r>
    <n v="1982"/>
    <d v="2025-05-15T00:00:00"/>
    <x v="0"/>
    <x v="0"/>
    <x v="3"/>
    <x v="7"/>
    <x v="11"/>
    <n v="18000"/>
    <x v="4"/>
    <n v="234000"/>
    <x v="466"/>
    <n v="28080"/>
    <x v="4"/>
  </r>
  <r>
    <n v="1983"/>
    <d v="2025-03-11T00:00:00"/>
    <x v="10"/>
    <x v="1"/>
    <x v="3"/>
    <x v="1"/>
    <x v="3"/>
    <n v="15000"/>
    <x v="1"/>
    <n v="270000"/>
    <x v="117"/>
    <n v="13500"/>
    <x v="10"/>
  </r>
  <r>
    <n v="1984"/>
    <d v="2025-11-30T00:00:00"/>
    <x v="6"/>
    <x v="1"/>
    <x v="2"/>
    <x v="0"/>
    <x v="4"/>
    <n v="9000"/>
    <x v="4"/>
    <n v="63000"/>
    <x v="574"/>
    <n v="7560"/>
    <x v="0"/>
  </r>
  <r>
    <n v="1985"/>
    <d v="2025-02-06T00:00:00"/>
    <x v="4"/>
    <x v="0"/>
    <x v="1"/>
    <x v="5"/>
    <x v="15"/>
    <n v="14000"/>
    <x v="3"/>
    <n v="196000"/>
    <x v="633"/>
    <n v="15680"/>
    <x v="7"/>
  </r>
  <r>
    <n v="1986"/>
    <d v="2025-12-10T00:00:00"/>
    <x v="8"/>
    <x v="1"/>
    <x v="0"/>
    <x v="0"/>
    <x v="15"/>
    <n v="8500"/>
    <x v="3"/>
    <n v="119000"/>
    <x v="91"/>
    <n v="9520"/>
    <x v="8"/>
  </r>
  <r>
    <n v="1987"/>
    <d v="2025-06-14T00:00:00"/>
    <x v="9"/>
    <x v="0"/>
    <x v="1"/>
    <x v="6"/>
    <x v="12"/>
    <n v="2500"/>
    <x v="0"/>
    <n v="50000"/>
    <x v="565"/>
    <n v="7500"/>
    <x v="11"/>
  </r>
  <r>
    <n v="1988"/>
    <d v="2025-03-28T00:00:00"/>
    <x v="9"/>
    <x v="0"/>
    <x v="2"/>
    <x v="3"/>
    <x v="12"/>
    <n v="2500"/>
    <x v="2"/>
    <n v="50000"/>
    <x v="451"/>
    <n v="5000"/>
    <x v="10"/>
  </r>
  <r>
    <n v="1989"/>
    <d v="2025-01-23T00:00:00"/>
    <x v="12"/>
    <x v="3"/>
    <x v="0"/>
    <x v="7"/>
    <x v="6"/>
    <n v="1800"/>
    <x v="1"/>
    <n v="14400"/>
    <x v="327"/>
    <n v="720"/>
    <x v="2"/>
  </r>
  <r>
    <n v="1990"/>
    <d v="2025-02-13T00:00:00"/>
    <x v="0"/>
    <x v="0"/>
    <x v="2"/>
    <x v="6"/>
    <x v="9"/>
    <n v="18000"/>
    <x v="1"/>
    <n v="36000"/>
    <x v="27"/>
    <n v="1800"/>
    <x v="7"/>
  </r>
  <r>
    <n v="1991"/>
    <d v="2025-01-08T00:00:00"/>
    <x v="9"/>
    <x v="0"/>
    <x v="3"/>
    <x v="3"/>
    <x v="1"/>
    <n v="2500"/>
    <x v="3"/>
    <n v="10000"/>
    <x v="204"/>
    <n v="800"/>
    <x v="2"/>
  </r>
  <r>
    <n v="1992"/>
    <d v="2025-01-12T00:00:00"/>
    <x v="9"/>
    <x v="0"/>
    <x v="2"/>
    <x v="0"/>
    <x v="4"/>
    <n v="2500"/>
    <x v="0"/>
    <n v="17500"/>
    <x v="11"/>
    <n v="2625"/>
    <x v="2"/>
  </r>
  <r>
    <n v="1993"/>
    <d v="2025-10-07T00:00:00"/>
    <x v="5"/>
    <x v="1"/>
    <x v="3"/>
    <x v="7"/>
    <x v="7"/>
    <n v="11000"/>
    <x v="4"/>
    <n v="99000"/>
    <x v="349"/>
    <n v="11880"/>
    <x v="3"/>
  </r>
  <r>
    <n v="1994"/>
    <d v="2025-12-22T00:00:00"/>
    <x v="14"/>
    <x v="2"/>
    <x v="1"/>
    <x v="6"/>
    <x v="0"/>
    <n v="180"/>
    <x v="2"/>
    <n v="180"/>
    <x v="634"/>
    <n v="18"/>
    <x v="8"/>
  </r>
  <r>
    <n v="1995"/>
    <d v="2025-03-29T00:00:00"/>
    <x v="2"/>
    <x v="0"/>
    <x v="0"/>
    <x v="2"/>
    <x v="18"/>
    <n v="55000"/>
    <x v="1"/>
    <n v="550000"/>
    <x v="624"/>
    <n v="27500"/>
    <x v="10"/>
  </r>
  <r>
    <n v="1996"/>
    <d v="2025-08-27T00:00:00"/>
    <x v="7"/>
    <x v="2"/>
    <x v="3"/>
    <x v="6"/>
    <x v="0"/>
    <n v="250"/>
    <x v="5"/>
    <n v="250"/>
    <x v="575"/>
    <n v="0"/>
    <x v="6"/>
  </r>
  <r>
    <n v="1997"/>
    <d v="2025-12-06T00:00:00"/>
    <x v="13"/>
    <x v="0"/>
    <x v="1"/>
    <x v="6"/>
    <x v="5"/>
    <n v="42000"/>
    <x v="5"/>
    <n v="504000"/>
    <x v="185"/>
    <n v="0"/>
    <x v="8"/>
  </r>
  <r>
    <n v="1998"/>
    <d v="2025-11-29T00:00:00"/>
    <x v="8"/>
    <x v="1"/>
    <x v="1"/>
    <x v="4"/>
    <x v="6"/>
    <n v="8500"/>
    <x v="2"/>
    <n v="68000"/>
    <x v="57"/>
    <n v="6800"/>
    <x v="0"/>
  </r>
  <r>
    <n v="1999"/>
    <d v="2025-09-06T00:00:00"/>
    <x v="13"/>
    <x v="0"/>
    <x v="1"/>
    <x v="7"/>
    <x v="12"/>
    <n v="42000"/>
    <x v="4"/>
    <n v="840000"/>
    <x v="635"/>
    <n v="100800"/>
    <x v="9"/>
  </r>
  <r>
    <n v="2000"/>
    <d v="2025-04-12T00:00:00"/>
    <x v="5"/>
    <x v="1"/>
    <x v="1"/>
    <x v="2"/>
    <x v="17"/>
    <n v="11000"/>
    <x v="4"/>
    <n v="165000"/>
    <x v="546"/>
    <n v="198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9E0D4-F2A2-46F9-BB8D-6D5D51C9CA2F}" name="PivotTable6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12:H223" firstHeaderRow="1" firstDataRow="1" firstDataCol="1"/>
  <pivotFields count="13">
    <pivotField compact="0" outline="0" showAll="0"/>
    <pivotField compact="0" numFmtId="15" outline="0" showAll="0"/>
    <pivotField axis="axisRow" compact="0" outline="0" showAll="0" sortType="descending">
      <items count="16">
        <item x="5"/>
        <item x="10"/>
        <item h="1" x="12"/>
        <item x="6"/>
        <item x="9"/>
        <item h="1" x="1"/>
        <item x="2"/>
        <item x="0"/>
        <item h="1" x="3"/>
        <item h="1" x="7"/>
        <item x="8"/>
        <item h="1" x="14"/>
        <item x="4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2"/>
  </rowFields>
  <rowItems count="11">
    <i>
      <x v="6"/>
    </i>
    <i>
      <x v="13"/>
    </i>
    <i>
      <x v="7"/>
    </i>
    <i>
      <x v="1"/>
    </i>
    <i>
      <x/>
    </i>
    <i>
      <x v="12"/>
    </i>
    <i>
      <x v="10"/>
    </i>
    <i>
      <x v="3"/>
    </i>
    <i>
      <x v="14"/>
    </i>
    <i>
      <x v="4"/>
    </i>
    <i t="grand">
      <x/>
    </i>
  </rowItems>
  <colItems count="1">
    <i/>
  </colItems>
  <dataFields count="1">
    <dataField name="Sum of net sale" fld="10" baseField="0" baseItem="0"/>
  </dataFields>
  <conditionalFormats count="1">
    <conditionalFormat priority="1">
      <pivotAreas count="2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6" selected="0">
              <x v="2"/>
              <x v="4"/>
              <x v="5"/>
              <x v="8"/>
              <x v="9"/>
              <x v="11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8" selected="0">
              <x v="0"/>
              <x v="1"/>
              <x v="3"/>
              <x v="6"/>
              <x v="7"/>
              <x v="10"/>
              <x v="12"/>
              <x v="13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4F551-ED69-4A9D-B739-BED24D6D7A3E}" name="PivotTable5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92:G206" firstHeaderRow="1" firstDataRow="2" firstDataCol="1"/>
  <pivotFields count="13">
    <pivotField compact="0" outline="0" showAll="0"/>
    <pivotField compact="0" numFmtId="15" outline="0" showAll="0"/>
    <pivotField compact="0" outline="0" showAll="0"/>
    <pivotField axis="axisCol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axis="axisRow" compact="0" outline="0" showAll="0">
      <items count="13">
        <item x="2"/>
        <item x="7"/>
        <item x="10"/>
        <item x="1"/>
        <item x="4"/>
        <item x="11"/>
        <item x="5"/>
        <item x="6"/>
        <item x="9"/>
        <item x="3"/>
        <item x="0"/>
        <item x="8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sale" fld="10" baseField="0" baseItem="0"/>
  </dataFields>
  <conditionalFormats count="1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4" selected="0">
              <x v="0"/>
              <x v="1"/>
              <x v="2"/>
              <x v="3"/>
            </reference>
            <reference field="1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49C28-4BB5-4672-93F9-44FE8A6598F8}" name="PivotTable8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11:C224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axis="axisRow" compact="0" outline="0" showAll="0">
      <items count="13">
        <item x="2"/>
        <item x="7"/>
        <item x="10"/>
        <item x="1"/>
        <item x="4"/>
        <item x="11"/>
        <item x="5"/>
        <item x="6"/>
        <item x="9"/>
        <item x="3"/>
        <item x="0"/>
        <item x="8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net sale" fld="10" subtotal="average" baseField="0" baseItem="0"/>
  </dataFields>
  <conditionalFormats count="1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45DF8-F662-4775-9298-F2CFFEE49E57}" name="PivotTable2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27:C32" firstHeaderRow="1" firstDataRow="1" firstDataCol="1"/>
  <pivotFields count="13">
    <pivotField compact="0" outline="0" showAll="0"/>
    <pivotField compact="0" numFmtId="1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sale" fld="10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C15F5-A8DA-41C0-9C78-E081F6160DEB}" name="PivotTable14" cacheId="35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6">
  <location ref="B37:C43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1"/>
        <item m="1" x="5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4"/>
  </rowFields>
  <rowItems count="6">
    <i>
      <x v="3"/>
    </i>
    <i>
      <x v="5"/>
    </i>
    <i>
      <x/>
    </i>
    <i>
      <x v="1"/>
    </i>
    <i>
      <x v="4"/>
    </i>
    <i t="grand">
      <x/>
    </i>
  </rowItems>
  <colItems count="1">
    <i/>
  </colItems>
  <dataFields count="1">
    <dataField name="Sum of net sale" fld="10" baseField="0" baseItem="0"/>
  </dataFields>
  <conditionalFormats count="1">
    <conditionalFormat priority="1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5" selected="0">
              <x v="0"/>
              <x v="1"/>
              <x v="3"/>
              <x v="4"/>
              <x v="5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73B5F-D0F5-45A0-814C-46776F1C96A5}" name="PivotTable20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54:R160" firstHeaderRow="1" firstDataRow="2" firstDataCol="1"/>
  <pivotFields count="13">
    <pivotField compact="0" outline="0" showAll="0"/>
    <pivotField compact="0" numFmtId="15" outline="0" showAll="0"/>
    <pivotField axis="axisCol" compact="0" outline="0" showAll="0">
      <items count="16">
        <item x="5"/>
        <item x="10"/>
        <item x="12"/>
        <item x="6"/>
        <item x="9"/>
        <item x="1"/>
        <item x="2"/>
        <item x="0"/>
        <item x="3"/>
        <item x="7"/>
        <item x="8"/>
        <item x="14"/>
        <item x="4"/>
        <item x="13"/>
        <item x="11"/>
        <item t="default"/>
      </items>
    </pivotField>
    <pivotField compact="0" outline="0" showAll="0"/>
    <pivotField axis="axisRow" compact="0" outline="0" showAll="0">
      <items count="7">
        <item x="0"/>
        <item x="1"/>
        <item m="1" x="5"/>
        <item x="2"/>
        <item h="1"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4"/>
  </rowFields>
  <rowItems count="5">
    <i>
      <x/>
    </i>
    <i>
      <x v="1"/>
    </i>
    <i>
      <x v="3"/>
    </i>
    <i>
      <x v="5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net sale" fld="10" baseField="0" baseItem="0"/>
  </dataFields>
  <conditionalFormats count="1"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  <reference field="4" count="4" selected="0">
              <x v="0"/>
              <x v="1"/>
              <x v="3"/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DD487-8BCC-4BFD-A299-13B8673DCFD9}" name="PivotTable9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2:C103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">
        <item x="0"/>
        <item x="9"/>
        <item x="2"/>
        <item x="1"/>
        <item x="19"/>
        <item x="8"/>
        <item x="4"/>
        <item x="6"/>
        <item x="7"/>
        <item x="18"/>
        <item x="16"/>
        <item x="5"/>
        <item x="11"/>
        <item x="15"/>
        <item x="17"/>
        <item x="14"/>
        <item x="13"/>
        <item x="3"/>
        <item x="10"/>
        <item x="12"/>
        <item h="1" x="20"/>
        <item t="default"/>
      </items>
    </pivotField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et sale" fld="10" baseField="0" baseItem="0"/>
  </dataFields>
  <conditionalFormats count="5">
    <conditionalFormat priority="2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2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2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2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2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2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90523-5F4E-43C8-9165-27B5E7F6B641}" name="PivotTable22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65:G171" firstHeaderRow="1" firstDataRow="2" firstDataCol="1"/>
  <pivotFields count="13">
    <pivotField compact="0" outline="0" showAll="0"/>
    <pivotField compact="0" numFmtId="15" outline="0" showAll="0"/>
    <pivotField compact="0" outline="0" showAll="0"/>
    <pivotField axis="axisCol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7">
        <item x="0"/>
        <item x="1"/>
        <item m="1" x="5"/>
        <item x="2"/>
        <item h="1"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4"/>
  </rowFields>
  <rowItems count="5">
    <i>
      <x/>
    </i>
    <i>
      <x v="1"/>
    </i>
    <i>
      <x v="3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sale" fld="10" baseField="0" baseItem="0"/>
  </dataFields>
  <conditionalFormats count="1"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4" selected="0">
              <x v="0"/>
              <x v="1"/>
              <x v="2"/>
              <x v="3"/>
            </reference>
            <reference field="4" count="4" selected="0">
              <x v="0"/>
              <x v="1"/>
              <x v="3"/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7ACF7-622F-4FA4-ADD4-773EC6C869F6}" name="PivotTable1" cacheId="35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6">
  <location ref="B7:C23" firstHeaderRow="1" firstDataRow="1" firstDataCol="1" rowPageCount="1" colPageCount="1"/>
  <pivotFields count="13">
    <pivotField compact="0" outline="0" showAll="0"/>
    <pivotField compact="0" numFmtId="15" outline="0" showAll="0"/>
    <pivotField axis="axisRow" compact="0" outline="0" showAll="0" sortType="descending">
      <items count="16">
        <item x="5"/>
        <item x="10"/>
        <item x="12"/>
        <item x="6"/>
        <item x="9"/>
        <item x="1"/>
        <item x="2"/>
        <item x="0"/>
        <item x="3"/>
        <item x="7"/>
        <item x="8"/>
        <item x="14"/>
        <item x="4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axis="axisPage" dataField="1" compact="0" outline="0" multipleItemSelectionAllowed="1" showAll="0">
      <items count="637">
        <item x="571"/>
        <item x="634"/>
        <item x="208"/>
        <item x="551"/>
        <item x="167"/>
        <item x="503"/>
        <item x="575"/>
        <item x="521"/>
        <item x="500"/>
        <item x="550"/>
        <item x="128"/>
        <item x="357"/>
        <item x="162"/>
        <item x="594"/>
        <item x="339"/>
        <item x="609"/>
        <item x="101"/>
        <item x="544"/>
        <item x="102"/>
        <item x="471"/>
        <item x="33"/>
        <item x="381"/>
        <item x="183"/>
        <item x="450"/>
        <item x="453"/>
        <item x="373"/>
        <item x="299"/>
        <item x="418"/>
        <item x="443"/>
        <item x="593"/>
        <item x="230"/>
        <item x="122"/>
        <item x="584"/>
        <item x="407"/>
        <item x="106"/>
        <item x="12"/>
        <item x="119"/>
        <item x="315"/>
        <item x="295"/>
        <item x="14"/>
        <item x="187"/>
        <item x="255"/>
        <item x="76"/>
        <item x="225"/>
        <item x="313"/>
        <item x="527"/>
        <item x="66"/>
        <item x="179"/>
        <item x="434"/>
        <item x="9"/>
        <item x="253"/>
        <item x="458"/>
        <item x="303"/>
        <item x="280"/>
        <item x="39"/>
        <item x="180"/>
        <item x="184"/>
        <item x="452"/>
        <item x="559"/>
        <item x="465"/>
        <item x="32"/>
        <item x="51"/>
        <item x="618"/>
        <item x="222"/>
        <item x="415"/>
        <item x="82"/>
        <item x="259"/>
        <item x="537"/>
        <item x="628"/>
        <item x="73"/>
        <item x="536"/>
        <item x="472"/>
        <item x="267"/>
        <item x="555"/>
        <item x="50"/>
        <item x="260"/>
        <item x="31"/>
        <item x="109"/>
        <item x="596"/>
        <item x="77"/>
        <item x="129"/>
        <item x="375"/>
        <item x="94"/>
        <item x="86"/>
        <item x="311"/>
        <item x="602"/>
        <item x="595"/>
        <item x="399"/>
        <item x="125"/>
        <item x="526"/>
        <item x="210"/>
        <item x="37"/>
        <item x="485"/>
        <item x="34"/>
        <item x="97"/>
        <item x="85"/>
        <item x="229"/>
        <item x="118"/>
        <item x="188"/>
        <item x="408"/>
        <item x="401"/>
        <item x="212"/>
        <item x="404"/>
        <item x="35"/>
        <item x="273"/>
        <item x="323"/>
        <item x="1"/>
        <item x="599"/>
        <item x="49"/>
        <item x="220"/>
        <item x="232"/>
        <item x="239"/>
        <item x="610"/>
        <item x="441"/>
        <item x="41"/>
        <item x="63"/>
        <item x="515"/>
        <item x="460"/>
        <item x="287"/>
        <item x="478"/>
        <item x="467"/>
        <item x="585"/>
        <item x="589"/>
        <item x="603"/>
        <item x="254"/>
        <item x="234"/>
        <item x="132"/>
        <item x="147"/>
        <item x="605"/>
        <item x="88"/>
        <item x="275"/>
        <item x="314"/>
        <item x="19"/>
        <item x="249"/>
        <item x="437"/>
        <item x="5"/>
        <item x="279"/>
        <item x="61"/>
        <item x="248"/>
        <item x="17"/>
        <item x="344"/>
        <item x="446"/>
        <item x="166"/>
        <item x="433"/>
        <item x="90"/>
        <item x="246"/>
        <item x="351"/>
        <item x="206"/>
        <item x="204"/>
        <item x="29"/>
        <item x="278"/>
        <item x="322"/>
        <item x="252"/>
        <item x="517"/>
        <item x="296"/>
        <item x="366"/>
        <item x="363"/>
        <item x="92"/>
        <item x="78"/>
        <item x="406"/>
        <item x="149"/>
        <item x="419"/>
        <item x="227"/>
        <item x="412"/>
        <item x="68"/>
        <item x="489"/>
        <item x="395"/>
        <item x="454"/>
        <item x="221"/>
        <item x="519"/>
        <item x="377"/>
        <item x="123"/>
        <item x="219"/>
        <item x="289"/>
        <item x="170"/>
        <item x="163"/>
        <item x="387"/>
        <item x="409"/>
        <item x="53"/>
        <item x="67"/>
        <item x="365"/>
        <item x="100"/>
        <item x="403"/>
        <item x="459"/>
        <item x="15"/>
        <item x="3"/>
        <item x="216"/>
        <item x="54"/>
        <item x="316"/>
        <item x="4"/>
        <item x="370"/>
        <item x="211"/>
        <item x="327"/>
        <item x="506"/>
        <item x="449"/>
        <item x="601"/>
        <item x="597"/>
        <item x="530"/>
        <item x="189"/>
        <item x="607"/>
        <item x="11"/>
        <item x="470"/>
        <item x="348"/>
        <item x="578"/>
        <item x="0"/>
        <item x="202"/>
        <item x="43"/>
        <item x="384"/>
        <item x="150"/>
        <item x="195"/>
        <item x="477"/>
        <item x="228"/>
        <item x="173"/>
        <item x="469"/>
        <item x="411"/>
        <item x="588"/>
        <item x="111"/>
        <item x="306"/>
        <item x="522"/>
        <item x="157"/>
        <item x="237"/>
        <item x="425"/>
        <item x="24"/>
        <item x="154"/>
        <item x="587"/>
        <item x="548"/>
        <item x="623"/>
        <item x="241"/>
        <item x="562"/>
        <item x="297"/>
        <item x="178"/>
        <item x="174"/>
        <item x="553"/>
        <item x="382"/>
        <item x="115"/>
        <item x="30"/>
        <item x="426"/>
        <item x="218"/>
        <item x="156"/>
        <item x="266"/>
        <item x="463"/>
        <item x="379"/>
        <item x="133"/>
        <item x="564"/>
        <item x="516"/>
        <item x="617"/>
        <item x="258"/>
        <item x="257"/>
        <item x="484"/>
        <item x="543"/>
        <item x="590"/>
        <item x="233"/>
        <item x="557"/>
        <item x="380"/>
        <item x="209"/>
        <item x="288"/>
        <item x="420"/>
        <item x="245"/>
        <item x="330"/>
        <item x="231"/>
        <item x="223"/>
        <item x="402"/>
        <item x="576"/>
        <item x="439"/>
        <item x="302"/>
        <item x="307"/>
        <item x="175"/>
        <item x="193"/>
        <item x="320"/>
        <item x="346"/>
        <item x="331"/>
        <item x="573"/>
        <item x="625"/>
        <item x="308"/>
        <item x="416"/>
        <item x="148"/>
        <item x="70"/>
        <item x="534"/>
        <item x="290"/>
        <item x="570"/>
        <item x="107"/>
        <item x="22"/>
        <item x="99"/>
        <item x="541"/>
        <item x="491"/>
        <item x="423"/>
        <item x="200"/>
        <item x="583"/>
        <item x="549"/>
        <item x="151"/>
        <item x="142"/>
        <item x="181"/>
        <item x="462"/>
        <item x="84"/>
        <item x="560"/>
        <item x="509"/>
        <item x="310"/>
        <item x="354"/>
        <item x="27"/>
        <item x="487"/>
        <item x="592"/>
        <item x="508"/>
        <item x="341"/>
        <item x="126"/>
        <item x="265"/>
        <item x="286"/>
        <item x="300"/>
        <item x="292"/>
        <item x="7"/>
        <item x="414"/>
        <item x="281"/>
        <item x="457"/>
        <item x="398"/>
        <item x="368"/>
        <item x="568"/>
        <item x="565"/>
        <item x="396"/>
        <item x="250"/>
        <item x="451"/>
        <item x="152"/>
        <item x="177"/>
        <item x="23"/>
        <item x="424"/>
        <item x="198"/>
        <item x="613"/>
        <item x="456"/>
        <item x="127"/>
        <item x="376"/>
        <item x="62"/>
        <item x="262"/>
        <item x="464"/>
        <item x="36"/>
        <item x="309"/>
        <item x="319"/>
        <item x="473"/>
        <item x="172"/>
        <item x="103"/>
        <item x="627"/>
        <item x="58"/>
        <item x="226"/>
        <item x="574"/>
        <item x="271"/>
        <item x="371"/>
        <item x="337"/>
        <item x="333"/>
        <item x="394"/>
        <item x="598"/>
        <item x="79"/>
        <item x="413"/>
        <item x="329"/>
        <item x="552"/>
        <item x="28"/>
        <item x="182"/>
        <item x="57"/>
        <item x="205"/>
        <item x="362"/>
        <item x="326"/>
        <item x="372"/>
        <item x="361"/>
        <item x="13"/>
        <item x="566"/>
        <item x="523"/>
        <item x="388"/>
        <item x="317"/>
        <item x="358"/>
        <item x="539"/>
        <item x="10"/>
        <item x="190"/>
        <item x="524"/>
        <item x="38"/>
        <item x="186"/>
        <item x="356"/>
        <item x="136"/>
        <item x="293"/>
        <item x="497"/>
        <item x="294"/>
        <item x="305"/>
        <item x="445"/>
        <item x="238"/>
        <item x="438"/>
        <item x="529"/>
        <item x="203"/>
        <item x="631"/>
        <item x="312"/>
        <item x="369"/>
        <item x="176"/>
        <item x="110"/>
        <item x="349"/>
        <item x="270"/>
        <item x="298"/>
        <item x="582"/>
        <item x="268"/>
        <item x="622"/>
        <item x="80"/>
        <item x="493"/>
        <item x="75"/>
        <item x="191"/>
        <item x="8"/>
        <item x="328"/>
        <item x="18"/>
        <item x="367"/>
        <item x="352"/>
        <item x="45"/>
        <item x="392"/>
        <item x="196"/>
        <item x="547"/>
        <item x="160"/>
        <item x="269"/>
        <item x="567"/>
        <item x="171"/>
        <item x="525"/>
        <item x="124"/>
        <item x="447"/>
        <item x="141"/>
        <item x="511"/>
        <item x="47"/>
        <item x="378"/>
        <item x="91"/>
        <item x="422"/>
        <item x="611"/>
        <item x="430"/>
        <item x="345"/>
        <item x="340"/>
        <item x="332"/>
        <item x="383"/>
        <item x="130"/>
        <item x="72"/>
        <item x="146"/>
        <item x="120"/>
        <item x="135"/>
        <item x="272"/>
        <item x="263"/>
        <item x="40"/>
        <item x="608"/>
        <item x="510"/>
        <item x="42"/>
        <item x="397"/>
        <item x="121"/>
        <item x="435"/>
        <item x="256"/>
        <item x="201"/>
        <item x="393"/>
        <item x="87"/>
        <item x="360"/>
        <item x="169"/>
        <item x="214"/>
        <item x="108"/>
        <item x="558"/>
        <item x="533"/>
        <item x="284"/>
        <item x="572"/>
        <item x="60"/>
        <item x="621"/>
        <item x="429"/>
        <item x="224"/>
        <item x="498"/>
        <item x="89"/>
        <item x="535"/>
        <item x="274"/>
        <item x="546"/>
        <item x="499"/>
        <item x="235"/>
        <item x="283"/>
        <item x="112"/>
        <item x="336"/>
        <item x="199"/>
        <item x="488"/>
        <item x="347"/>
        <item x="143"/>
        <item x="71"/>
        <item x="144"/>
        <item x="164"/>
        <item x="318"/>
        <item x="591"/>
        <item x="2"/>
        <item x="619"/>
        <item x="81"/>
        <item x="104"/>
        <item x="282"/>
        <item x="386"/>
        <item x="153"/>
        <item x="96"/>
        <item x="304"/>
        <item x="428"/>
        <item x="276"/>
        <item x="16"/>
        <item x="44"/>
        <item x="98"/>
        <item x="240"/>
        <item x="20"/>
        <item x="324"/>
        <item x="468"/>
        <item x="74"/>
        <item x="321"/>
        <item x="95"/>
        <item x="335"/>
        <item x="138"/>
        <item x="391"/>
        <item x="131"/>
        <item x="633"/>
        <item x="606"/>
        <item x="461"/>
        <item x="343"/>
        <item x="247"/>
        <item x="26"/>
        <item x="436"/>
        <item x="334"/>
        <item x="64"/>
        <item x="502"/>
        <item x="168"/>
        <item x="410"/>
        <item x="494"/>
        <item x="490"/>
        <item x="612"/>
        <item x="556"/>
        <item x="6"/>
        <item x="581"/>
        <item x="113"/>
        <item x="243"/>
        <item x="466"/>
        <item x="194"/>
        <item x="25"/>
        <item x="482"/>
        <item x="159"/>
        <item x="569"/>
        <item x="217"/>
        <item x="504"/>
        <item x="261"/>
        <item x="554"/>
        <item x="501"/>
        <item x="561"/>
        <item x="137"/>
        <item x="59"/>
        <item x="431"/>
        <item x="21"/>
        <item x="417"/>
        <item x="630"/>
        <item x="65"/>
        <item x="632"/>
        <item x="514"/>
        <item x="197"/>
        <item x="614"/>
        <item x="427"/>
        <item x="492"/>
        <item x="117"/>
        <item x="480"/>
        <item x="52"/>
        <item x="400"/>
        <item x="513"/>
        <item x="518"/>
        <item x="134"/>
        <item x="421"/>
        <item x="604"/>
        <item x="158"/>
        <item x="545"/>
        <item x="579"/>
        <item x="580"/>
        <item x="629"/>
        <item x="483"/>
        <item x="140"/>
        <item x="528"/>
        <item x="626"/>
        <item x="207"/>
        <item x="476"/>
        <item x="165"/>
        <item x="48"/>
        <item x="353"/>
        <item x="355"/>
        <item x="586"/>
        <item x="105"/>
        <item x="69"/>
        <item x="577"/>
        <item x="507"/>
        <item x="448"/>
        <item x="83"/>
        <item x="475"/>
        <item x="215"/>
        <item x="496"/>
        <item x="563"/>
        <item x="338"/>
        <item x="244"/>
        <item x="616"/>
        <item x="359"/>
        <item x="481"/>
        <item x="538"/>
        <item x="455"/>
        <item x="390"/>
        <item x="364"/>
        <item x="405"/>
        <item x="185"/>
        <item x="624"/>
        <item x="495"/>
        <item x="432"/>
        <item x="474"/>
        <item x="350"/>
        <item x="374"/>
        <item x="264"/>
        <item x="155"/>
        <item x="385"/>
        <item x="512"/>
        <item x="93"/>
        <item x="540"/>
        <item x="192"/>
        <item x="291"/>
        <item x="242"/>
        <item x="55"/>
        <item x="139"/>
        <item x="251"/>
        <item x="389"/>
        <item x="325"/>
        <item x="145"/>
        <item x="56"/>
        <item x="531"/>
        <item x="285"/>
        <item x="486"/>
        <item x="635"/>
        <item x="213"/>
        <item x="444"/>
        <item x="600"/>
        <item x="236"/>
        <item x="114"/>
        <item x="440"/>
        <item x="479"/>
        <item x="615"/>
        <item x="116"/>
        <item x="505"/>
        <item x="542"/>
        <item x="532"/>
        <item x="46"/>
        <item x="277"/>
        <item x="442"/>
        <item x="342"/>
        <item x="620"/>
        <item x="520"/>
        <item x="161"/>
        <item h="1" x="301"/>
        <item t="default"/>
      </items>
    </pivotField>
    <pivotField compact="0" numFmtId="2" outline="0" showAll="0"/>
    <pivotField compact="0" outline="0" showAll="0"/>
  </pivotFields>
  <rowFields count="1">
    <field x="2"/>
  </rowFields>
  <rowItems count="16">
    <i>
      <x v="6"/>
    </i>
    <i>
      <x v="13"/>
    </i>
    <i>
      <x v="7"/>
    </i>
    <i>
      <x v="1"/>
    </i>
    <i>
      <x/>
    </i>
    <i>
      <x v="12"/>
    </i>
    <i>
      <x v="10"/>
    </i>
    <i>
      <x v="3"/>
    </i>
    <i>
      <x v="14"/>
    </i>
    <i>
      <x v="4"/>
    </i>
    <i>
      <x v="2"/>
    </i>
    <i>
      <x v="5"/>
    </i>
    <i>
      <x v="8"/>
    </i>
    <i>
      <x v="9"/>
    </i>
    <i>
      <x v="11"/>
    </i>
    <i t="grand">
      <x/>
    </i>
  </rowItems>
  <colItems count="1">
    <i/>
  </colItems>
  <pageFields count="1">
    <pageField fld="10" hier="-1"/>
  </pageFields>
  <dataFields count="1">
    <dataField name="Sum of net sale" fld="10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96D52-4F14-4519-A057-125E8BCC8DB8}" name="PivotTable18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3:C148" firstHeaderRow="1" firstDataRow="1" firstDataCol="1" rowPageCount="1" colPageCount="1"/>
  <pivotFields count="13">
    <pivotField compact="0" outline="0" showAll="0"/>
    <pivotField compact="0" numFmtId="1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axis="axisPage" dataField="1" compact="0" outline="0" multipleItemSelectionAllowed="1" showAll="0">
      <items count="22">
        <item x="0"/>
        <item x="9"/>
        <item x="2"/>
        <item x="1"/>
        <item x="19"/>
        <item x="8"/>
        <item x="4"/>
        <item x="6"/>
        <item x="7"/>
        <item x="18"/>
        <item x="16"/>
        <item x="5"/>
        <item x="11"/>
        <item x="15"/>
        <item x="17"/>
        <item x="14"/>
        <item x="13"/>
        <item x="3"/>
        <item x="10"/>
        <item x="12"/>
        <item h="1" x="20"/>
        <item t="default"/>
      </items>
    </pivotField>
    <pivotField compact="0" outline="0" showAll="0"/>
    <pivotField compact="0" numFmtId="9" outline="0" showAll="0"/>
    <pivotField compact="0" outline="0" showAll="0"/>
    <pivotField compact="0" outline="0" showAll="0"/>
    <pivotField compact="0" numFmtId="2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um of Quantity" fld="6" baseField="0" baseItem="0"/>
  </dataFields>
  <conditionalFormats count="1"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CB607-B24D-4DD3-8270-A3E9FA57CB10}" name="PivotTable7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64:C77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>
      <items count="637">
        <item x="571"/>
        <item x="634"/>
        <item x="208"/>
        <item x="551"/>
        <item x="167"/>
        <item x="503"/>
        <item x="575"/>
        <item x="521"/>
        <item x="500"/>
        <item x="550"/>
        <item x="128"/>
        <item x="357"/>
        <item x="162"/>
        <item x="594"/>
        <item x="339"/>
        <item x="609"/>
        <item x="101"/>
        <item x="544"/>
        <item x="102"/>
        <item x="471"/>
        <item x="33"/>
        <item x="381"/>
        <item x="183"/>
        <item x="450"/>
        <item x="453"/>
        <item x="373"/>
        <item x="299"/>
        <item x="418"/>
        <item x="443"/>
        <item x="593"/>
        <item x="230"/>
        <item x="122"/>
        <item x="584"/>
        <item x="407"/>
        <item x="106"/>
        <item x="12"/>
        <item x="119"/>
        <item x="315"/>
        <item x="295"/>
        <item x="14"/>
        <item x="187"/>
        <item x="255"/>
        <item x="76"/>
        <item x="225"/>
        <item x="313"/>
        <item x="527"/>
        <item x="66"/>
        <item x="179"/>
        <item x="434"/>
        <item x="9"/>
        <item x="253"/>
        <item x="458"/>
        <item x="303"/>
        <item x="280"/>
        <item x="39"/>
        <item x="180"/>
        <item x="184"/>
        <item x="452"/>
        <item x="559"/>
        <item x="465"/>
        <item x="32"/>
        <item x="51"/>
        <item x="618"/>
        <item x="222"/>
        <item x="415"/>
        <item x="82"/>
        <item x="259"/>
        <item x="537"/>
        <item x="628"/>
        <item x="73"/>
        <item x="536"/>
        <item x="472"/>
        <item x="267"/>
        <item x="555"/>
        <item x="50"/>
        <item x="260"/>
        <item x="31"/>
        <item x="109"/>
        <item x="596"/>
        <item x="77"/>
        <item x="129"/>
        <item x="375"/>
        <item x="94"/>
        <item x="86"/>
        <item x="311"/>
        <item x="602"/>
        <item x="595"/>
        <item x="399"/>
        <item x="125"/>
        <item x="526"/>
        <item x="210"/>
        <item x="37"/>
        <item x="485"/>
        <item x="34"/>
        <item x="97"/>
        <item x="85"/>
        <item x="229"/>
        <item x="118"/>
        <item x="188"/>
        <item x="408"/>
        <item x="401"/>
        <item x="212"/>
        <item x="404"/>
        <item x="35"/>
        <item x="273"/>
        <item x="323"/>
        <item x="1"/>
        <item x="599"/>
        <item x="49"/>
        <item x="220"/>
        <item x="232"/>
        <item x="239"/>
        <item x="610"/>
        <item x="441"/>
        <item x="41"/>
        <item x="63"/>
        <item x="515"/>
        <item x="460"/>
        <item x="287"/>
        <item x="478"/>
        <item x="467"/>
        <item x="585"/>
        <item x="589"/>
        <item x="603"/>
        <item x="254"/>
        <item x="234"/>
        <item x="132"/>
        <item x="147"/>
        <item x="605"/>
        <item x="88"/>
        <item x="275"/>
        <item x="314"/>
        <item x="19"/>
        <item x="249"/>
        <item x="437"/>
        <item x="5"/>
        <item x="279"/>
        <item x="61"/>
        <item x="248"/>
        <item x="17"/>
        <item x="344"/>
        <item x="446"/>
        <item x="166"/>
        <item x="433"/>
        <item x="90"/>
        <item x="246"/>
        <item x="351"/>
        <item x="206"/>
        <item x="204"/>
        <item x="29"/>
        <item x="278"/>
        <item x="322"/>
        <item x="252"/>
        <item x="517"/>
        <item x="296"/>
        <item x="366"/>
        <item x="363"/>
        <item x="92"/>
        <item x="78"/>
        <item x="406"/>
        <item x="149"/>
        <item x="419"/>
        <item x="227"/>
        <item x="412"/>
        <item x="68"/>
        <item x="489"/>
        <item x="395"/>
        <item x="454"/>
        <item x="221"/>
        <item x="519"/>
        <item x="377"/>
        <item x="123"/>
        <item x="219"/>
        <item x="289"/>
        <item x="170"/>
        <item x="163"/>
        <item x="387"/>
        <item x="409"/>
        <item x="53"/>
        <item x="67"/>
        <item x="365"/>
        <item x="100"/>
        <item x="403"/>
        <item x="459"/>
        <item x="15"/>
        <item x="3"/>
        <item x="216"/>
        <item x="54"/>
        <item x="316"/>
        <item x="4"/>
        <item x="370"/>
        <item x="211"/>
        <item x="327"/>
        <item x="506"/>
        <item x="449"/>
        <item x="601"/>
        <item x="597"/>
        <item x="530"/>
        <item x="189"/>
        <item x="607"/>
        <item x="11"/>
        <item x="470"/>
        <item x="348"/>
        <item x="578"/>
        <item x="0"/>
        <item x="202"/>
        <item x="43"/>
        <item x="384"/>
        <item x="150"/>
        <item x="195"/>
        <item x="477"/>
        <item x="228"/>
        <item x="173"/>
        <item x="469"/>
        <item x="411"/>
        <item x="588"/>
        <item x="111"/>
        <item x="306"/>
        <item x="522"/>
        <item x="157"/>
        <item x="237"/>
        <item x="425"/>
        <item x="24"/>
        <item x="154"/>
        <item x="587"/>
        <item x="548"/>
        <item x="623"/>
        <item x="241"/>
        <item x="562"/>
        <item x="297"/>
        <item x="178"/>
        <item x="174"/>
        <item x="553"/>
        <item x="382"/>
        <item x="115"/>
        <item x="30"/>
        <item x="426"/>
        <item x="218"/>
        <item x="156"/>
        <item x="266"/>
        <item x="463"/>
        <item x="379"/>
        <item x="133"/>
        <item x="564"/>
        <item x="516"/>
        <item x="617"/>
        <item x="258"/>
        <item x="257"/>
        <item x="484"/>
        <item x="543"/>
        <item x="590"/>
        <item x="233"/>
        <item x="557"/>
        <item x="380"/>
        <item x="209"/>
        <item x="288"/>
        <item x="420"/>
        <item x="245"/>
        <item x="330"/>
        <item x="231"/>
        <item x="223"/>
        <item x="402"/>
        <item x="576"/>
        <item x="439"/>
        <item x="302"/>
        <item x="307"/>
        <item x="175"/>
        <item x="193"/>
        <item x="320"/>
        <item x="346"/>
        <item x="331"/>
        <item x="573"/>
        <item x="625"/>
        <item x="308"/>
        <item x="416"/>
        <item x="148"/>
        <item x="70"/>
        <item x="534"/>
        <item x="290"/>
        <item x="570"/>
        <item x="107"/>
        <item x="22"/>
        <item x="99"/>
        <item x="541"/>
        <item x="491"/>
        <item x="423"/>
        <item x="200"/>
        <item x="583"/>
        <item x="549"/>
        <item x="151"/>
        <item x="142"/>
        <item x="181"/>
        <item x="462"/>
        <item x="84"/>
        <item x="560"/>
        <item x="509"/>
        <item x="310"/>
        <item x="354"/>
        <item x="27"/>
        <item x="487"/>
        <item x="592"/>
        <item x="508"/>
        <item x="341"/>
        <item x="126"/>
        <item x="265"/>
        <item x="286"/>
        <item x="300"/>
        <item x="292"/>
        <item x="7"/>
        <item x="414"/>
        <item x="281"/>
        <item x="457"/>
        <item x="398"/>
        <item x="368"/>
        <item x="568"/>
        <item x="565"/>
        <item x="396"/>
        <item x="250"/>
        <item x="451"/>
        <item x="152"/>
        <item x="177"/>
        <item x="23"/>
        <item x="424"/>
        <item x="198"/>
        <item x="613"/>
        <item x="456"/>
        <item x="127"/>
        <item x="376"/>
        <item x="62"/>
        <item x="262"/>
        <item x="464"/>
        <item x="36"/>
        <item x="309"/>
        <item x="319"/>
        <item x="473"/>
        <item x="172"/>
        <item x="103"/>
        <item x="627"/>
        <item x="58"/>
        <item x="226"/>
        <item x="574"/>
        <item x="271"/>
        <item x="371"/>
        <item x="337"/>
        <item x="333"/>
        <item x="394"/>
        <item x="598"/>
        <item x="79"/>
        <item x="413"/>
        <item x="329"/>
        <item x="552"/>
        <item x="28"/>
        <item x="182"/>
        <item x="57"/>
        <item x="205"/>
        <item x="362"/>
        <item x="326"/>
        <item x="372"/>
        <item x="361"/>
        <item x="13"/>
        <item x="566"/>
        <item x="523"/>
        <item x="388"/>
        <item x="317"/>
        <item x="358"/>
        <item x="539"/>
        <item x="10"/>
        <item x="190"/>
        <item x="524"/>
        <item x="38"/>
        <item x="186"/>
        <item x="356"/>
        <item x="136"/>
        <item x="293"/>
        <item x="497"/>
        <item x="294"/>
        <item x="305"/>
        <item x="445"/>
        <item x="238"/>
        <item x="438"/>
        <item x="529"/>
        <item x="203"/>
        <item x="631"/>
        <item x="312"/>
        <item x="369"/>
        <item x="176"/>
        <item x="110"/>
        <item x="349"/>
        <item x="270"/>
        <item x="298"/>
        <item x="582"/>
        <item x="268"/>
        <item x="622"/>
        <item x="80"/>
        <item x="493"/>
        <item x="75"/>
        <item x="191"/>
        <item x="8"/>
        <item x="328"/>
        <item x="18"/>
        <item x="367"/>
        <item x="352"/>
        <item x="45"/>
        <item x="392"/>
        <item x="196"/>
        <item x="547"/>
        <item x="160"/>
        <item x="269"/>
        <item x="567"/>
        <item x="171"/>
        <item x="525"/>
        <item x="124"/>
        <item x="447"/>
        <item x="141"/>
        <item x="511"/>
        <item x="47"/>
        <item x="378"/>
        <item x="91"/>
        <item x="422"/>
        <item x="611"/>
        <item x="430"/>
        <item x="345"/>
        <item x="340"/>
        <item x="332"/>
        <item x="383"/>
        <item x="130"/>
        <item x="72"/>
        <item x="146"/>
        <item x="120"/>
        <item x="135"/>
        <item x="272"/>
        <item x="263"/>
        <item x="40"/>
        <item x="608"/>
        <item x="510"/>
        <item x="42"/>
        <item x="397"/>
        <item x="121"/>
        <item x="435"/>
        <item x="256"/>
        <item x="201"/>
        <item x="393"/>
        <item x="87"/>
        <item x="360"/>
        <item x="169"/>
        <item x="214"/>
        <item x="108"/>
        <item x="558"/>
        <item x="533"/>
        <item x="284"/>
        <item x="572"/>
        <item x="60"/>
        <item x="621"/>
        <item x="429"/>
        <item x="224"/>
        <item x="498"/>
        <item x="89"/>
        <item x="535"/>
        <item x="274"/>
        <item x="546"/>
        <item x="499"/>
        <item x="235"/>
        <item x="283"/>
        <item x="112"/>
        <item x="336"/>
        <item x="199"/>
        <item x="488"/>
        <item x="347"/>
        <item x="143"/>
        <item x="71"/>
        <item x="144"/>
        <item x="164"/>
        <item x="318"/>
        <item x="591"/>
        <item x="2"/>
        <item x="619"/>
        <item x="81"/>
        <item x="104"/>
        <item x="282"/>
        <item x="386"/>
        <item x="153"/>
        <item x="96"/>
        <item x="304"/>
        <item x="428"/>
        <item x="276"/>
        <item x="16"/>
        <item x="44"/>
        <item x="98"/>
        <item x="240"/>
        <item x="20"/>
        <item x="324"/>
        <item x="468"/>
        <item x="74"/>
        <item x="321"/>
        <item x="95"/>
        <item x="335"/>
        <item x="138"/>
        <item x="391"/>
        <item x="131"/>
        <item x="633"/>
        <item x="606"/>
        <item x="461"/>
        <item x="343"/>
        <item x="247"/>
        <item x="26"/>
        <item x="436"/>
        <item x="334"/>
        <item x="64"/>
        <item x="502"/>
        <item x="168"/>
        <item x="410"/>
        <item x="494"/>
        <item x="490"/>
        <item x="612"/>
        <item x="556"/>
        <item x="6"/>
        <item x="581"/>
        <item x="113"/>
        <item x="243"/>
        <item x="466"/>
        <item x="194"/>
        <item x="25"/>
        <item x="482"/>
        <item x="159"/>
        <item x="569"/>
        <item x="217"/>
        <item x="504"/>
        <item x="261"/>
        <item x="554"/>
        <item x="501"/>
        <item x="561"/>
        <item x="137"/>
        <item x="59"/>
        <item x="431"/>
        <item x="21"/>
        <item x="417"/>
        <item x="630"/>
        <item x="65"/>
        <item x="632"/>
        <item x="514"/>
        <item x="197"/>
        <item x="614"/>
        <item x="427"/>
        <item x="492"/>
        <item x="117"/>
        <item x="480"/>
        <item x="52"/>
        <item x="400"/>
        <item x="513"/>
        <item x="518"/>
        <item x="134"/>
        <item x="421"/>
        <item x="604"/>
        <item x="158"/>
        <item x="545"/>
        <item x="579"/>
        <item x="580"/>
        <item x="629"/>
        <item x="483"/>
        <item x="140"/>
        <item x="528"/>
        <item x="626"/>
        <item x="207"/>
        <item x="476"/>
        <item x="165"/>
        <item x="48"/>
        <item x="353"/>
        <item x="355"/>
        <item x="586"/>
        <item x="105"/>
        <item x="69"/>
        <item x="577"/>
        <item x="507"/>
        <item x="448"/>
        <item x="83"/>
        <item x="475"/>
        <item x="215"/>
        <item x="496"/>
        <item x="563"/>
        <item x="338"/>
        <item x="244"/>
        <item x="616"/>
        <item x="359"/>
        <item x="481"/>
        <item x="538"/>
        <item x="455"/>
        <item x="390"/>
        <item x="364"/>
        <item x="405"/>
        <item x="185"/>
        <item x="624"/>
        <item x="495"/>
        <item x="432"/>
        <item x="474"/>
        <item x="350"/>
        <item x="374"/>
        <item x="264"/>
        <item x="155"/>
        <item x="385"/>
        <item x="512"/>
        <item x="93"/>
        <item x="540"/>
        <item x="192"/>
        <item x="291"/>
        <item x="242"/>
        <item x="55"/>
        <item x="139"/>
        <item x="251"/>
        <item x="389"/>
        <item x="325"/>
        <item x="145"/>
        <item x="56"/>
        <item x="531"/>
        <item x="285"/>
        <item x="486"/>
        <item x="635"/>
        <item x="213"/>
        <item x="444"/>
        <item x="600"/>
        <item x="236"/>
        <item x="114"/>
        <item x="440"/>
        <item x="479"/>
        <item x="615"/>
        <item x="116"/>
        <item x="505"/>
        <item x="542"/>
        <item x="532"/>
        <item x="46"/>
        <item x="277"/>
        <item x="442"/>
        <item x="342"/>
        <item x="620"/>
        <item x="520"/>
        <item x="161"/>
        <item x="301"/>
        <item t="default"/>
      </items>
    </pivotField>
    <pivotField compact="0" numFmtId="2" outline="0" showAll="0"/>
    <pivotField axis="axisRow" compact="0" outline="0" showAll="0">
      <items count="13">
        <item x="2"/>
        <item x="7"/>
        <item x="10"/>
        <item x="1"/>
        <item x="4"/>
        <item x="11"/>
        <item x="5"/>
        <item x="6"/>
        <item x="9"/>
        <item x="3"/>
        <item x="0"/>
        <item x="8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sale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BB88D-D450-4DA1-9B8F-4D30EE5DD30A}" name="PivotTable16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1:C137" firstHeaderRow="1" firstDataRow="1" firstDataCol="1"/>
  <pivotFields count="13">
    <pivotField compact="0" outline="0" showAll="0"/>
    <pivotField compact="0" numFmtId="15" outline="0" showAll="0"/>
    <pivotField axis="axisRow" compact="0" outline="0" showAll="0">
      <items count="16">
        <item x="5"/>
        <item x="10"/>
        <item x="12"/>
        <item x="6"/>
        <item x="9"/>
        <item x="1"/>
        <item x="2"/>
        <item x="0"/>
        <item x="3"/>
        <item x="7"/>
        <item x="8"/>
        <item x="14"/>
        <item x="4"/>
        <item x="13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2" outline="0" showAll="0"/>
    <pivotField compact="0" outline="0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6" baseField="0" baseItem="0"/>
  </dataFields>
  <conditionalFormats count="1">
    <conditionalFormat priority="1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FC053-EB07-4388-A8D1-69A03F366E49}" name="PivotTable3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76:R186" firstHeaderRow="1" firstDataRow="2" firstDataCol="1"/>
  <pivotFields count="13">
    <pivotField compact="0" outline="0" showAll="0"/>
    <pivotField compact="0" numFmtId="15" outline="0" showAll="0"/>
    <pivotField axis="axisCol" compact="0" outline="0" showAll="0">
      <items count="16">
        <item x="5"/>
        <item x="10"/>
        <item x="12"/>
        <item x="6"/>
        <item x="9"/>
        <item x="1"/>
        <item x="2"/>
        <item x="0"/>
        <item x="3"/>
        <item x="7"/>
        <item x="8"/>
        <item x="14"/>
        <item x="4"/>
        <item x="13"/>
        <item x="11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7"/>
        <item x="1"/>
        <item x="0"/>
        <item x="3"/>
        <item x="5"/>
        <item x="2"/>
        <item x="4"/>
        <item h="1" x="8"/>
        <item x="6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net sale" fld="10" baseField="0" baseItem="0"/>
  </dataFields>
  <conditionalFormats count="1"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  <reference field="5" count="8" selected="0">
              <x v="0"/>
              <x v="1"/>
              <x v="2"/>
              <x v="3"/>
              <x v="4"/>
              <x v="5"/>
              <x v="6"/>
              <x v="8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3B986-7EC0-4BAD-94E7-BA1E9AFD73D8}" name="PivotTable10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B108:C116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9" outline="0" showAll="0">
      <items count="8">
        <item x="5"/>
        <item x="1"/>
        <item x="3"/>
        <item x="2"/>
        <item x="4"/>
        <item x="0"/>
        <item x="6"/>
        <item t="default"/>
      </items>
    </pivotField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et sale" fld="10" baseField="0" baseItem="0"/>
  </dataFields>
  <conditionalFormats count="1">
    <conditionalFormat priority="1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44AEE-846E-4DEE-94C5-A420C297AE8E}" name="PivotTable4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9:C59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7"/>
        <item x="1"/>
        <item x="0"/>
        <item x="3"/>
        <item x="5"/>
        <item x="2"/>
        <item x="4"/>
        <item x="8"/>
        <item x="6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net sale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BC7A0-9A53-477D-8307-E0AEE764578F}" name="PivotTable4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7:C60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numFmtId="2" outline="0" showAll="0"/>
    <pivotField axis="axisRow" compact="0" outline="0" showAll="0">
      <items count="13">
        <item x="2"/>
        <item x="7"/>
        <item x="10"/>
        <item x="1"/>
        <item x="4"/>
        <item x="11"/>
        <item x="5"/>
        <item x="6"/>
        <item x="9"/>
        <item x="3"/>
        <item x="0"/>
        <item x="8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 sales" fld="9" baseField="0" baseItem="0"/>
  </dataFields>
  <conditionalFormats count="1"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A23B4-E984-4918-9CC6-D5B504F2950D}" name="PivotTable3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6:C42" firstHeaderRow="1" firstDataRow="1" firstDataCol="1"/>
  <pivotFields count="13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m="1" x="5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numFmtId="2" outline="0" showAll="0"/>
    <pivotField compact="0" outline="0" showAll="0"/>
  </pivotFields>
  <rowFields count="1">
    <field x="4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gross sales" fld="9" baseField="0" baseItem="0"/>
  </dataFields>
  <conditionalFormats count="1"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5" selected="0">
              <x v="0"/>
              <x v="1"/>
              <x v="3"/>
              <x v="4"/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75934-9813-40A9-879F-D3DC016A0295}" name="PivotTable2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6:C31" firstHeaderRow="1" firstDataRow="1" firstDataCol="1"/>
  <pivotFields count="13">
    <pivotField compact="0" outline="0" showAll="0"/>
    <pivotField compact="0" numFmtId="1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numFmtId="2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 sales" fld="9" baseField="0" baseItem="0"/>
  </dataFields>
  <conditionalFormats count="1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BF7A1-4082-4618-BE56-B84C17E548B7}" name="PivotTable1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20" firstHeaderRow="1" firstDataRow="1" firstDataCol="1"/>
  <pivotFields count="13">
    <pivotField compact="0" outline="0" showAll="0"/>
    <pivotField compact="0" numFmtId="15" outline="0" showAll="0"/>
    <pivotField axis="axisRow" compact="0" outline="0" showAll="0">
      <items count="16">
        <item x="5"/>
        <item x="10"/>
        <item x="12"/>
        <item x="6"/>
        <item x="9"/>
        <item x="1"/>
        <item x="2"/>
        <item x="0"/>
        <item x="3"/>
        <item x="7"/>
        <item x="8"/>
        <item x="14"/>
        <item x="4"/>
        <item x="13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numFmtId="2" outline="0" showAll="0"/>
    <pivotField compact="0" outline="0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gross sales" fld="9" baseField="0" baseItem="0"/>
  </dataFields>
  <conditionalFormats count="1"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2E0CF-2629-4C81-96BC-6CAB52F95FB6}" name="PivotTable5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6:D82" firstHeaderRow="0" firstDataRow="1" firstDataCol="1"/>
  <pivotFields count="13">
    <pivotField compact="0" outline="0" showAll="0"/>
    <pivotField compact="0" numFmtId="15" outline="0" showAll="0"/>
    <pivotField axis="axisRow" compact="0" outline="0" showAll="0">
      <items count="16">
        <item x="5"/>
        <item x="10"/>
        <item x="12"/>
        <item x="6"/>
        <item x="9"/>
        <item x="1"/>
        <item x="2"/>
        <item x="0"/>
        <item x="3"/>
        <item x="7"/>
        <item x="8"/>
        <item x="14"/>
        <item x="4"/>
        <item x="13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dataField="1" compact="0" outline="0" showAll="0"/>
    <pivotField compact="0" numFmtId="2" outline="0" showAll="0"/>
    <pivotField compact="0" outline="0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sales" fld="9" baseField="0" baseItem="0"/>
    <dataField name="Sum of net sale" fld="10" baseField="0" baseItem="0"/>
  </dataFields>
  <conditionalFormats count="1">
    <conditionalFormat priority="4">
      <pivotAreas count="1">
        <pivotArea type="data" outline="0" collapsedLevelsAreSubtotals="1" fieldPosition="0">
          <references count="1">
            <reference field="2" count="1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26EBE91B-65D4-465A-BF81-BF7CF410F350}" sourceName="Region">
  <pivotTables>
    <pivotTable tabId="6" name="PivotTable14"/>
  </pivotTables>
  <data>
    <tabular pivotCacheId="205056762">
      <items count="6">
        <i x="0" s="1"/>
        <i x="1" s="1"/>
        <i x="2" s="1"/>
        <i x="4" s="1"/>
        <i x="3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ACFAF28A-9761-4641-BABD-61EBF1ACCFE3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07908-70BF-4356-B4FC-4D0652693C56}" name="Table1" displayName="Table1" ref="A1:I1001" totalsRowShown="0" headerRowDxfId="16">
  <autoFilter ref="A1:I1001" xr:uid="{DAF07908-70BF-4356-B4FC-4D0652693C56}"/>
  <tableColumns count="9">
    <tableColumn id="1" xr3:uid="{8A26F664-95D9-49B2-93D2-AB6A02135A33}" name="Order_ID"/>
    <tableColumn id="2" xr3:uid="{3993FCC9-7824-44ED-8FF6-FE058FF5E564}" name="Date"/>
    <tableColumn id="3" xr3:uid="{47B55FC4-EF7F-4235-9263-EBF99E5BA3B9}" name="Product"/>
    <tableColumn id="4" xr3:uid="{CE4B2F9D-C0FA-4495-A1C1-C2772AC66E7F}" name="Category"/>
    <tableColumn id="5" xr3:uid="{5FF37386-B78E-4FB1-8960-47583FE98ED1}" name="Region"/>
    <tableColumn id="6" xr3:uid="{179B4B6B-F041-420E-98FB-189507EFC3A7}" name="Salesperson"/>
    <tableColumn id="7" xr3:uid="{CD18D155-D078-47B2-94B9-771793A029C0}" name="Quantity"/>
    <tableColumn id="8" xr3:uid="{3C369AF0-5F4E-46A1-A85C-E246B333910A}" name="Unit_Price"/>
    <tableColumn id="9" xr3:uid="{C6112D7C-B4F0-46C3-9AA9-D6078E75423D}" name="Disc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E1CDB-F8B5-46CF-86F6-2457C596EF71}" name="Table2" displayName="Table2" ref="A1:M1001" totalsRowShown="0" headerRowDxfId="14" dataDxfId="13" tableBorderDxfId="12">
  <autoFilter ref="A1:M1001" xr:uid="{A4EE1CDB-F8B5-46CF-86F6-2457C596EF71}"/>
  <tableColumns count="13">
    <tableColumn id="1" xr3:uid="{DCD8746B-6718-46F1-9FFC-1B976D0BB6CB}" name="Order_ID" dataDxfId="11"/>
    <tableColumn id="2" xr3:uid="{A6051DF7-FD38-4993-B949-64D4DE995206}" name="Date" dataDxfId="10"/>
    <tableColumn id="3" xr3:uid="{AA9466F5-8372-4CDC-98AA-090637E82B38}" name="Product" dataDxfId="9"/>
    <tableColumn id="4" xr3:uid="{D81052FE-DE2E-4A07-BDCF-CC7EF3D38648}" name="Category" dataDxfId="8"/>
    <tableColumn id="5" xr3:uid="{48CA4949-416A-41B7-9442-B619318308AE}" name="Region" dataDxfId="7"/>
    <tableColumn id="6" xr3:uid="{85476A7C-E5DA-4749-B363-05EB63A71675}" name="Salesperson" dataDxfId="6"/>
    <tableColumn id="7" xr3:uid="{FDB9E179-697C-4B0A-A982-AA80DD3CBD63}" name="Quantity" dataDxfId="5"/>
    <tableColumn id="8" xr3:uid="{B1E6BF0C-15B0-44AE-BCB1-EF4194A16166}" name="Unit_Price"/>
    <tableColumn id="9" xr3:uid="{CA3E1BAA-0966-4FDE-AFCC-3FADF790AF8C}" name="Discount" dataDxfId="4"/>
    <tableColumn id="10" xr3:uid="{0FF3B2CD-7FDD-4AF8-B522-6AE0BCF465DB}" name="gross sales" dataDxfId="3">
      <calculatedColumnFormula>Table2[[#This Row],[Quantity]]*Table2[[#This Row],[Unit_Price]]</calculatedColumnFormula>
    </tableColumn>
    <tableColumn id="11" xr3:uid="{24D4844E-D088-44D9-B915-5004B2F14211}" name="net sale" dataDxfId="2">
      <calculatedColumnFormula>J2*(1-I2)</calculatedColumnFormula>
    </tableColumn>
    <tableColumn id="13" xr3:uid="{D5ED126B-CC48-48DC-ACA5-D8F9D8C5B282}" name="discount impact" dataDxfId="1">
      <calculatedColumnFormula>Table2[[#This Row],[gross sales]]-Table2[[#This Row],[net sale]]</calculatedColumnFormula>
    </tableColumn>
    <tableColumn id="12" xr3:uid="{58415C12-AD61-4C05-90AF-5A65F5833141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microsoft.com/office/2007/relationships/slicer" Target="../slicers/slicer1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opLeftCell="A67" workbookViewId="0">
      <selection activeCell="K987" sqref="K987"/>
    </sheetView>
  </sheetViews>
  <sheetFormatPr defaultRowHeight="15"/>
  <cols>
    <col min="1" max="1" width="9.42578125" bestFit="1" customWidth="1"/>
    <col min="3" max="3" width="9.7109375" bestFit="1" customWidth="1"/>
    <col min="4" max="4" width="10.5703125" bestFit="1" customWidth="1"/>
    <col min="5" max="5" width="11.42578125" customWidth="1"/>
    <col min="6" max="6" width="11.28515625" bestFit="1" customWidth="1"/>
    <col min="7" max="7" width="9.140625" customWidth="1"/>
    <col min="8" max="8" width="10.28515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>
        <v>1001</v>
      </c>
      <c r="B2" s="5">
        <v>45985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</v>
      </c>
      <c r="H2" s="6">
        <v>18000</v>
      </c>
      <c r="I2" s="7">
        <v>0.15</v>
      </c>
    </row>
    <row r="3" spans="1:9">
      <c r="A3" s="8">
        <v>1002</v>
      </c>
      <c r="B3" s="9">
        <v>45772</v>
      </c>
      <c r="C3" s="8" t="s">
        <v>13</v>
      </c>
      <c r="D3" s="8" t="s">
        <v>10</v>
      </c>
      <c r="E3" s="8" t="s">
        <v>14</v>
      </c>
      <c r="F3" s="8" t="s">
        <v>15</v>
      </c>
      <c r="G3" s="8">
        <v>4</v>
      </c>
      <c r="H3" s="10">
        <v>1200</v>
      </c>
      <c r="I3" s="11">
        <v>0.15</v>
      </c>
    </row>
    <row r="4" spans="1:9">
      <c r="A4" s="4">
        <v>1003</v>
      </c>
      <c r="B4" s="5">
        <v>45674</v>
      </c>
      <c r="C4" s="4" t="s">
        <v>16</v>
      </c>
      <c r="D4" s="4" t="s">
        <v>10</v>
      </c>
      <c r="E4" s="4" t="s">
        <v>17</v>
      </c>
      <c r="F4" s="4" t="s">
        <v>18</v>
      </c>
      <c r="G4" s="4">
        <v>3</v>
      </c>
      <c r="H4" s="6">
        <v>55000</v>
      </c>
      <c r="I4" s="7">
        <v>0.05</v>
      </c>
    </row>
    <row r="5" spans="1:9">
      <c r="A5" s="8">
        <v>1004</v>
      </c>
      <c r="B5" s="9">
        <v>45945</v>
      </c>
      <c r="C5" s="8" t="s">
        <v>19</v>
      </c>
      <c r="D5" s="8" t="s">
        <v>10</v>
      </c>
      <c r="E5" s="8" t="s">
        <v>17</v>
      </c>
      <c r="F5" s="8" t="s">
        <v>20</v>
      </c>
      <c r="G5" s="8">
        <v>18</v>
      </c>
      <c r="H5" s="8">
        <v>800</v>
      </c>
      <c r="I5" s="11">
        <v>0.1</v>
      </c>
    </row>
    <row r="6" spans="1:9">
      <c r="A6" s="4">
        <v>1005</v>
      </c>
      <c r="B6" s="5">
        <v>45959</v>
      </c>
      <c r="C6" s="4" t="s">
        <v>21</v>
      </c>
      <c r="D6" s="4" t="s">
        <v>10</v>
      </c>
      <c r="E6" s="4" t="s">
        <v>22</v>
      </c>
      <c r="F6" s="4" t="s">
        <v>23</v>
      </c>
      <c r="G6" s="4">
        <v>1</v>
      </c>
      <c r="H6" s="6">
        <v>14000</v>
      </c>
      <c r="I6" s="7">
        <v>0.05</v>
      </c>
    </row>
    <row r="7" spans="1:9">
      <c r="A7" s="8">
        <v>1006</v>
      </c>
      <c r="B7" s="9">
        <v>45800</v>
      </c>
      <c r="C7" s="8" t="s">
        <v>13</v>
      </c>
      <c r="D7" s="8" t="s">
        <v>10</v>
      </c>
      <c r="E7" s="8" t="s">
        <v>14</v>
      </c>
      <c r="F7" s="8" t="s">
        <v>24</v>
      </c>
      <c r="G7" s="8">
        <v>7</v>
      </c>
      <c r="H7" s="10">
        <v>1200</v>
      </c>
      <c r="I7" s="11">
        <v>0.08</v>
      </c>
    </row>
    <row r="8" spans="1:9">
      <c r="A8" s="4">
        <v>1007</v>
      </c>
      <c r="B8" s="5">
        <v>45852</v>
      </c>
      <c r="C8" s="4" t="s">
        <v>9</v>
      </c>
      <c r="D8" s="4" t="s">
        <v>10</v>
      </c>
      <c r="E8" s="4" t="s">
        <v>11</v>
      </c>
      <c r="F8" s="4" t="s">
        <v>18</v>
      </c>
      <c r="G8" s="4">
        <v>12</v>
      </c>
      <c r="H8" s="6">
        <v>18000</v>
      </c>
      <c r="I8" s="7">
        <v>0.08</v>
      </c>
    </row>
    <row r="9" spans="1:9">
      <c r="A9" s="8">
        <v>1008</v>
      </c>
      <c r="B9" s="9">
        <v>45893</v>
      </c>
      <c r="C9" s="8" t="s">
        <v>25</v>
      </c>
      <c r="D9" s="8" t="s">
        <v>26</v>
      </c>
      <c r="E9" s="8" t="s">
        <v>14</v>
      </c>
      <c r="F9" s="8" t="s">
        <v>27</v>
      </c>
      <c r="G9" s="8">
        <v>4</v>
      </c>
      <c r="H9" s="10">
        <v>11000</v>
      </c>
      <c r="I9" s="11">
        <v>0.1</v>
      </c>
    </row>
    <row r="10" spans="1:9">
      <c r="A10" s="4">
        <v>1009</v>
      </c>
      <c r="B10" s="5">
        <v>45979</v>
      </c>
      <c r="C10" s="4" t="s">
        <v>28</v>
      </c>
      <c r="D10" s="4" t="s">
        <v>26</v>
      </c>
      <c r="E10" s="4" t="s">
        <v>17</v>
      </c>
      <c r="F10" s="4" t="s">
        <v>24</v>
      </c>
      <c r="G10" s="4">
        <v>12</v>
      </c>
      <c r="H10" s="6">
        <v>9000</v>
      </c>
      <c r="I10" s="7">
        <v>0.12</v>
      </c>
    </row>
    <row r="11" spans="1:9">
      <c r="A11" s="8">
        <v>1010</v>
      </c>
      <c r="B11" s="9">
        <v>45681</v>
      </c>
      <c r="C11" s="8" t="s">
        <v>29</v>
      </c>
      <c r="D11" s="8" t="s">
        <v>30</v>
      </c>
      <c r="E11" s="8" t="s">
        <v>14</v>
      </c>
      <c r="F11" s="8" t="s">
        <v>12</v>
      </c>
      <c r="G11" s="8">
        <v>8</v>
      </c>
      <c r="H11" s="8">
        <v>250</v>
      </c>
      <c r="I11" s="11">
        <v>0.08</v>
      </c>
    </row>
    <row r="12" spans="1:9">
      <c r="A12" s="4">
        <v>1011</v>
      </c>
      <c r="B12" s="5">
        <v>45709</v>
      </c>
      <c r="C12" s="4" t="s">
        <v>31</v>
      </c>
      <c r="D12" s="4" t="s">
        <v>26</v>
      </c>
      <c r="E12" s="4" t="s">
        <v>11</v>
      </c>
      <c r="F12" s="4" t="s">
        <v>32</v>
      </c>
      <c r="G12" s="4">
        <v>9</v>
      </c>
      <c r="H12" s="6">
        <v>8500</v>
      </c>
      <c r="I12" s="7">
        <v>0.1</v>
      </c>
    </row>
    <row r="13" spans="1:9">
      <c r="A13" s="8">
        <v>1012</v>
      </c>
      <c r="B13" s="9">
        <v>45847</v>
      </c>
      <c r="C13" s="8" t="s">
        <v>33</v>
      </c>
      <c r="D13" s="8" t="s">
        <v>10</v>
      </c>
      <c r="E13" s="8" t="s">
        <v>11</v>
      </c>
      <c r="F13" s="8" t="s">
        <v>24</v>
      </c>
      <c r="G13" s="8">
        <v>7</v>
      </c>
      <c r="H13" s="10">
        <v>2500</v>
      </c>
      <c r="I13" s="11">
        <v>0.15</v>
      </c>
    </row>
    <row r="14" spans="1:9">
      <c r="A14" s="4">
        <v>1013</v>
      </c>
      <c r="B14" s="5">
        <v>45969</v>
      </c>
      <c r="C14" s="4" t="s">
        <v>29</v>
      </c>
      <c r="D14" s="4" t="s">
        <v>30</v>
      </c>
      <c r="E14" s="4" t="s">
        <v>17</v>
      </c>
      <c r="F14" s="4" t="s">
        <v>32</v>
      </c>
      <c r="G14" s="4">
        <v>6</v>
      </c>
      <c r="H14" s="4">
        <v>250</v>
      </c>
      <c r="I14" s="7">
        <v>0.12</v>
      </c>
    </row>
    <row r="15" spans="1:9">
      <c r="A15" s="8">
        <v>1014</v>
      </c>
      <c r="B15" s="9">
        <v>45894</v>
      </c>
      <c r="C15" s="8" t="s">
        <v>31</v>
      </c>
      <c r="D15" s="8" t="s">
        <v>26</v>
      </c>
      <c r="E15" s="8" t="s">
        <v>17</v>
      </c>
      <c r="F15" s="8" t="s">
        <v>23</v>
      </c>
      <c r="G15" s="8">
        <v>9</v>
      </c>
      <c r="H15" s="10">
        <v>8500</v>
      </c>
      <c r="I15" s="11">
        <v>0.15</v>
      </c>
    </row>
    <row r="16" spans="1:9">
      <c r="A16" s="4">
        <v>1015</v>
      </c>
      <c r="B16" s="5">
        <v>45686</v>
      </c>
      <c r="C16" s="4" t="s">
        <v>19</v>
      </c>
      <c r="D16" s="4" t="s">
        <v>10</v>
      </c>
      <c r="E16" s="4" t="s">
        <v>22</v>
      </c>
      <c r="F16" s="4" t="s">
        <v>27</v>
      </c>
      <c r="G16" s="4">
        <v>2</v>
      </c>
      <c r="H16" s="4">
        <v>800</v>
      </c>
      <c r="I16" s="7">
        <v>0.08</v>
      </c>
    </row>
    <row r="17" spans="1:9">
      <c r="A17" s="8">
        <v>1016</v>
      </c>
      <c r="B17" s="9">
        <v>45691</v>
      </c>
      <c r="C17" s="8" t="s">
        <v>19</v>
      </c>
      <c r="D17" s="8" t="s">
        <v>10</v>
      </c>
      <c r="E17" s="8" t="s">
        <v>11</v>
      </c>
      <c r="F17" s="8" t="s">
        <v>12</v>
      </c>
      <c r="G17" s="8">
        <v>19</v>
      </c>
      <c r="H17" s="8">
        <v>800</v>
      </c>
      <c r="I17" s="11">
        <v>0.15</v>
      </c>
    </row>
    <row r="18" spans="1:9">
      <c r="A18" s="4">
        <v>1017</v>
      </c>
      <c r="B18" s="5">
        <v>45993</v>
      </c>
      <c r="C18" s="4" t="s">
        <v>34</v>
      </c>
      <c r="D18" s="4" t="s">
        <v>26</v>
      </c>
      <c r="E18" s="4" t="s">
        <v>22</v>
      </c>
      <c r="F18" s="4" t="s">
        <v>32</v>
      </c>
      <c r="G18" s="4">
        <v>13</v>
      </c>
      <c r="H18" s="6">
        <v>15000</v>
      </c>
      <c r="I18" s="7">
        <v>0.15</v>
      </c>
    </row>
    <row r="19" spans="1:9">
      <c r="A19" s="8">
        <v>1018</v>
      </c>
      <c r="B19" s="9">
        <v>45793</v>
      </c>
      <c r="C19" s="8" t="s">
        <v>13</v>
      </c>
      <c r="D19" s="8" t="s">
        <v>10</v>
      </c>
      <c r="E19" s="8" t="s">
        <v>11</v>
      </c>
      <c r="F19" s="8" t="s">
        <v>15</v>
      </c>
      <c r="G19" s="8">
        <v>8</v>
      </c>
      <c r="H19" s="10">
        <v>1200</v>
      </c>
      <c r="I19" s="11">
        <v>0.15</v>
      </c>
    </row>
    <row r="20" spans="1:9">
      <c r="A20" s="4">
        <v>1019</v>
      </c>
      <c r="B20" s="5">
        <v>45956</v>
      </c>
      <c r="C20" s="4" t="s">
        <v>31</v>
      </c>
      <c r="D20" s="4" t="s">
        <v>26</v>
      </c>
      <c r="E20" s="4" t="s">
        <v>17</v>
      </c>
      <c r="F20" s="4" t="s">
        <v>20</v>
      </c>
      <c r="G20" s="4">
        <v>12</v>
      </c>
      <c r="H20" s="6">
        <v>8500</v>
      </c>
      <c r="I20" s="7">
        <v>0.05</v>
      </c>
    </row>
    <row r="21" spans="1:9">
      <c r="A21" s="8">
        <v>1020</v>
      </c>
      <c r="B21" s="9">
        <v>45704</v>
      </c>
      <c r="C21" s="8" t="s">
        <v>35</v>
      </c>
      <c r="D21" s="8" t="s">
        <v>36</v>
      </c>
      <c r="E21" s="8" t="s">
        <v>17</v>
      </c>
      <c r="F21" s="8" t="s">
        <v>32</v>
      </c>
      <c r="G21" s="8">
        <v>2</v>
      </c>
      <c r="H21" s="10">
        <v>3500</v>
      </c>
      <c r="I21" s="11">
        <v>0</v>
      </c>
    </row>
    <row r="22" spans="1:9">
      <c r="A22" s="4">
        <v>1021</v>
      </c>
      <c r="B22" s="5">
        <v>46006</v>
      </c>
      <c r="C22" s="4" t="s">
        <v>31</v>
      </c>
      <c r="D22" s="4" t="s">
        <v>26</v>
      </c>
      <c r="E22" s="4" t="s">
        <v>22</v>
      </c>
      <c r="F22" s="4" t="s">
        <v>15</v>
      </c>
      <c r="G22" s="4">
        <v>20</v>
      </c>
      <c r="H22" s="6">
        <v>8500</v>
      </c>
      <c r="I22" s="7">
        <v>0</v>
      </c>
    </row>
    <row r="23" spans="1:9">
      <c r="A23" s="8">
        <v>1022</v>
      </c>
      <c r="B23" s="9">
        <v>45963</v>
      </c>
      <c r="C23" s="8" t="s">
        <v>34</v>
      </c>
      <c r="D23" s="8" t="s">
        <v>26</v>
      </c>
      <c r="E23" s="8" t="s">
        <v>14</v>
      </c>
      <c r="F23" s="8" t="s">
        <v>24</v>
      </c>
      <c r="G23" s="8">
        <v>17</v>
      </c>
      <c r="H23" s="10">
        <v>15000</v>
      </c>
      <c r="I23" s="11">
        <v>0.08</v>
      </c>
    </row>
    <row r="24" spans="1:9">
      <c r="A24" s="4">
        <v>1023</v>
      </c>
      <c r="B24" s="5">
        <v>46007</v>
      </c>
      <c r="C24" s="4" t="s">
        <v>37</v>
      </c>
      <c r="D24" s="4" t="s">
        <v>36</v>
      </c>
      <c r="E24" s="4" t="s">
        <v>11</v>
      </c>
      <c r="F24" s="4" t="s">
        <v>24</v>
      </c>
      <c r="G24" s="4">
        <v>18</v>
      </c>
      <c r="H24" s="6">
        <v>1800</v>
      </c>
      <c r="I24" s="7">
        <v>0.08</v>
      </c>
    </row>
    <row r="25" spans="1:9">
      <c r="A25" s="8">
        <v>1024</v>
      </c>
      <c r="B25" s="9">
        <v>45808</v>
      </c>
      <c r="C25" s="8" t="s">
        <v>31</v>
      </c>
      <c r="D25" s="8" t="s">
        <v>26</v>
      </c>
      <c r="E25" s="8" t="s">
        <v>14</v>
      </c>
      <c r="F25" s="8" t="s">
        <v>27</v>
      </c>
      <c r="G25" s="8">
        <v>6</v>
      </c>
      <c r="H25" s="10">
        <v>8500</v>
      </c>
      <c r="I25" s="11">
        <v>0.1</v>
      </c>
    </row>
    <row r="26" spans="1:9">
      <c r="A26" s="4">
        <v>1025</v>
      </c>
      <c r="B26" s="5">
        <v>45914</v>
      </c>
      <c r="C26" s="4" t="s">
        <v>35</v>
      </c>
      <c r="D26" s="4" t="s">
        <v>36</v>
      </c>
      <c r="E26" s="4" t="s">
        <v>14</v>
      </c>
      <c r="F26" s="4" t="s">
        <v>27</v>
      </c>
      <c r="G26" s="4">
        <v>6</v>
      </c>
      <c r="H26" s="6">
        <v>3500</v>
      </c>
      <c r="I26" s="7">
        <v>0.12</v>
      </c>
    </row>
    <row r="27" spans="1:9">
      <c r="A27" s="8">
        <v>1026</v>
      </c>
      <c r="B27" s="9">
        <v>45985</v>
      </c>
      <c r="C27" s="8" t="s">
        <v>25</v>
      </c>
      <c r="D27" s="8" t="s">
        <v>26</v>
      </c>
      <c r="E27" s="8" t="s">
        <v>17</v>
      </c>
      <c r="F27" s="8" t="s">
        <v>23</v>
      </c>
      <c r="G27" s="8">
        <v>20</v>
      </c>
      <c r="H27" s="10">
        <v>11000</v>
      </c>
      <c r="I27" s="11">
        <v>0.05</v>
      </c>
    </row>
    <row r="28" spans="1:9">
      <c r="A28" s="4">
        <v>1027</v>
      </c>
      <c r="B28" s="5">
        <v>45740</v>
      </c>
      <c r="C28" s="4" t="s">
        <v>25</v>
      </c>
      <c r="D28" s="4" t="s">
        <v>26</v>
      </c>
      <c r="E28" s="4" t="s">
        <v>11</v>
      </c>
      <c r="F28" s="4" t="s">
        <v>20</v>
      </c>
      <c r="G28" s="4">
        <v>17</v>
      </c>
      <c r="H28" s="6">
        <v>11000</v>
      </c>
      <c r="I28" s="7">
        <v>0</v>
      </c>
    </row>
    <row r="29" spans="1:9">
      <c r="A29" s="8">
        <v>1028</v>
      </c>
      <c r="B29" s="9">
        <v>45667</v>
      </c>
      <c r="C29" s="8" t="s">
        <v>9</v>
      </c>
      <c r="D29" s="8" t="s">
        <v>10</v>
      </c>
      <c r="E29" s="8" t="s">
        <v>17</v>
      </c>
      <c r="F29" s="8" t="s">
        <v>18</v>
      </c>
      <c r="G29" s="8">
        <v>12</v>
      </c>
      <c r="H29" s="10">
        <v>18000</v>
      </c>
      <c r="I29" s="11">
        <v>0.08</v>
      </c>
    </row>
    <row r="30" spans="1:9">
      <c r="A30" s="4">
        <v>1029</v>
      </c>
      <c r="B30" s="5">
        <v>45781</v>
      </c>
      <c r="C30" s="4" t="s">
        <v>37</v>
      </c>
      <c r="D30" s="4" t="s">
        <v>36</v>
      </c>
      <c r="E30" s="4" t="s">
        <v>14</v>
      </c>
      <c r="F30" s="4" t="s">
        <v>20</v>
      </c>
      <c r="G30" s="4">
        <v>19</v>
      </c>
      <c r="H30" s="6">
        <v>1800</v>
      </c>
      <c r="I30" s="7">
        <v>0</v>
      </c>
    </row>
    <row r="31" spans="1:9">
      <c r="A31" s="8">
        <v>1030</v>
      </c>
      <c r="B31" s="9">
        <v>45693</v>
      </c>
      <c r="C31" s="8" t="s">
        <v>35</v>
      </c>
      <c r="D31" s="8" t="s">
        <v>36</v>
      </c>
      <c r="E31" s="8" t="s">
        <v>17</v>
      </c>
      <c r="F31" s="8" t="s">
        <v>20</v>
      </c>
      <c r="G31" s="8">
        <v>18</v>
      </c>
      <c r="H31" s="10">
        <v>3500</v>
      </c>
      <c r="I31" s="11">
        <v>0.05</v>
      </c>
    </row>
    <row r="32" spans="1:9">
      <c r="A32" s="4">
        <v>1031</v>
      </c>
      <c r="B32" s="5">
        <v>45939</v>
      </c>
      <c r="C32" s="4" t="s">
        <v>13</v>
      </c>
      <c r="D32" s="4" t="s">
        <v>10</v>
      </c>
      <c r="E32" s="4" t="s">
        <v>22</v>
      </c>
      <c r="F32" s="4" t="s">
        <v>12</v>
      </c>
      <c r="G32" s="4">
        <v>9</v>
      </c>
      <c r="H32" s="6">
        <v>1200</v>
      </c>
      <c r="I32" s="7">
        <v>0.12</v>
      </c>
    </row>
    <row r="33" spans="1:9">
      <c r="A33" s="8">
        <v>1032</v>
      </c>
      <c r="B33" s="9">
        <v>45934</v>
      </c>
      <c r="C33" s="8" t="s">
        <v>35</v>
      </c>
      <c r="D33" s="8" t="s">
        <v>36</v>
      </c>
      <c r="E33" s="8" t="s">
        <v>11</v>
      </c>
      <c r="F33" s="8" t="s">
        <v>15</v>
      </c>
      <c r="G33" s="8">
        <v>7</v>
      </c>
      <c r="H33" s="10">
        <v>3500</v>
      </c>
      <c r="I33" s="11">
        <v>0.15</v>
      </c>
    </row>
    <row r="34" spans="1:9">
      <c r="A34" s="4">
        <v>1033</v>
      </c>
      <c r="B34" s="5">
        <v>46001</v>
      </c>
      <c r="C34" s="4" t="s">
        <v>29</v>
      </c>
      <c r="D34" s="4" t="s">
        <v>30</v>
      </c>
      <c r="E34" s="4" t="s">
        <v>22</v>
      </c>
      <c r="F34" s="4" t="s">
        <v>24</v>
      </c>
      <c r="G34" s="4">
        <v>12</v>
      </c>
      <c r="H34" s="4">
        <v>250</v>
      </c>
      <c r="I34" s="7">
        <v>0.1</v>
      </c>
    </row>
    <row r="35" spans="1:9">
      <c r="A35" s="8">
        <v>1034</v>
      </c>
      <c r="B35" s="9">
        <v>45784</v>
      </c>
      <c r="C35" s="8" t="s">
        <v>19</v>
      </c>
      <c r="D35" s="8" t="s">
        <v>10</v>
      </c>
      <c r="E35" s="8" t="s">
        <v>14</v>
      </c>
      <c r="F35" s="8" t="s">
        <v>12</v>
      </c>
      <c r="G35" s="8">
        <v>3</v>
      </c>
      <c r="H35" s="8">
        <v>800</v>
      </c>
      <c r="I35" s="11">
        <v>0.08</v>
      </c>
    </row>
    <row r="36" spans="1:9">
      <c r="A36" s="4">
        <v>1035</v>
      </c>
      <c r="B36" s="5">
        <v>45959</v>
      </c>
      <c r="C36" s="4" t="s">
        <v>19</v>
      </c>
      <c r="D36" s="4" t="s">
        <v>10</v>
      </c>
      <c r="E36" s="4" t="s">
        <v>14</v>
      </c>
      <c r="F36" s="4" t="s">
        <v>12</v>
      </c>
      <c r="G36" s="4">
        <v>1</v>
      </c>
      <c r="H36" s="4">
        <v>800</v>
      </c>
      <c r="I36" s="7">
        <v>0</v>
      </c>
    </row>
    <row r="37" spans="1:9">
      <c r="A37" s="8">
        <v>1036</v>
      </c>
      <c r="B37" s="9">
        <v>45692</v>
      </c>
      <c r="C37" s="8" t="s">
        <v>37</v>
      </c>
      <c r="D37" s="8" t="s">
        <v>36</v>
      </c>
      <c r="E37" s="8" t="s">
        <v>14</v>
      </c>
      <c r="F37" s="8" t="s">
        <v>12</v>
      </c>
      <c r="G37" s="8">
        <v>2</v>
      </c>
      <c r="H37" s="10">
        <v>1800</v>
      </c>
      <c r="I37" s="11">
        <v>0.08</v>
      </c>
    </row>
    <row r="38" spans="1:9">
      <c r="A38" s="4">
        <v>1037</v>
      </c>
      <c r="B38" s="5">
        <v>45800</v>
      </c>
      <c r="C38" s="4" t="s">
        <v>29</v>
      </c>
      <c r="D38" s="4" t="s">
        <v>30</v>
      </c>
      <c r="E38" s="4" t="s">
        <v>17</v>
      </c>
      <c r="F38" s="4" t="s">
        <v>20</v>
      </c>
      <c r="G38" s="4">
        <v>16</v>
      </c>
      <c r="H38" s="4">
        <v>250</v>
      </c>
      <c r="I38" s="7">
        <v>0.05</v>
      </c>
    </row>
    <row r="39" spans="1:9">
      <c r="A39" s="8">
        <v>1038</v>
      </c>
      <c r="B39" s="9">
        <v>45782</v>
      </c>
      <c r="C39" s="8" t="s">
        <v>35</v>
      </c>
      <c r="D39" s="8" t="s">
        <v>36</v>
      </c>
      <c r="E39" s="8" t="s">
        <v>17</v>
      </c>
      <c r="F39" s="8" t="s">
        <v>24</v>
      </c>
      <c r="G39" s="8">
        <v>16</v>
      </c>
      <c r="H39" s="10">
        <v>3500</v>
      </c>
      <c r="I39" s="11">
        <v>0.1</v>
      </c>
    </row>
    <row r="40" spans="1:9">
      <c r="A40" s="4">
        <v>1039</v>
      </c>
      <c r="B40" s="5">
        <v>45707</v>
      </c>
      <c r="C40" s="4" t="s">
        <v>29</v>
      </c>
      <c r="D40" s="4" t="s">
        <v>30</v>
      </c>
      <c r="E40" s="4" t="s">
        <v>22</v>
      </c>
      <c r="F40" s="4" t="s">
        <v>15</v>
      </c>
      <c r="G40" s="4">
        <v>14</v>
      </c>
      <c r="H40" s="4">
        <v>250</v>
      </c>
      <c r="I40" s="7">
        <v>0.08</v>
      </c>
    </row>
    <row r="41" spans="1:9">
      <c r="A41" s="8">
        <v>1040</v>
      </c>
      <c r="B41" s="9">
        <v>45897</v>
      </c>
      <c r="C41" s="8" t="s">
        <v>38</v>
      </c>
      <c r="D41" s="8" t="s">
        <v>10</v>
      </c>
      <c r="E41" s="8" t="s">
        <v>14</v>
      </c>
      <c r="F41" s="8" t="s">
        <v>18</v>
      </c>
      <c r="G41" s="8">
        <v>2</v>
      </c>
      <c r="H41" s="10">
        <v>42000</v>
      </c>
      <c r="I41" s="11">
        <v>0.15</v>
      </c>
    </row>
    <row r="42" spans="1:9">
      <c r="A42" s="4">
        <v>1041</v>
      </c>
      <c r="B42" s="5">
        <v>45864</v>
      </c>
      <c r="C42" s="4" t="s">
        <v>39</v>
      </c>
      <c r="D42" s="4" t="s">
        <v>30</v>
      </c>
      <c r="E42" s="4" t="s">
        <v>17</v>
      </c>
      <c r="F42" s="4" t="s">
        <v>12</v>
      </c>
      <c r="G42" s="4">
        <v>11</v>
      </c>
      <c r="H42" s="4">
        <v>180</v>
      </c>
      <c r="I42" s="7">
        <v>0</v>
      </c>
    </row>
    <row r="43" spans="1:9">
      <c r="A43" s="8">
        <v>1042</v>
      </c>
      <c r="B43" s="9">
        <v>45755</v>
      </c>
      <c r="C43" s="8" t="s">
        <v>25</v>
      </c>
      <c r="D43" s="8" t="s">
        <v>26</v>
      </c>
      <c r="E43" s="8" t="s">
        <v>22</v>
      </c>
      <c r="F43" s="8" t="s">
        <v>32</v>
      </c>
      <c r="G43" s="8">
        <v>15</v>
      </c>
      <c r="H43" s="10">
        <v>11000</v>
      </c>
      <c r="I43" s="11">
        <v>0.05</v>
      </c>
    </row>
    <row r="44" spans="1:9">
      <c r="A44" s="4">
        <v>1043</v>
      </c>
      <c r="B44" s="5">
        <v>45800</v>
      </c>
      <c r="C44" s="4" t="s">
        <v>34</v>
      </c>
      <c r="D44" s="4" t="s">
        <v>26</v>
      </c>
      <c r="E44" s="4" t="s">
        <v>22</v>
      </c>
      <c r="F44" s="4" t="s">
        <v>24</v>
      </c>
      <c r="G44" s="4">
        <v>8</v>
      </c>
      <c r="H44" s="6">
        <v>15000</v>
      </c>
      <c r="I44" s="7">
        <v>0</v>
      </c>
    </row>
    <row r="45" spans="1:9">
      <c r="A45" s="8">
        <v>1044</v>
      </c>
      <c r="B45" s="9">
        <v>45683</v>
      </c>
      <c r="C45" s="8" t="s">
        <v>29</v>
      </c>
      <c r="D45" s="8" t="s">
        <v>30</v>
      </c>
      <c r="E45" s="8" t="s">
        <v>14</v>
      </c>
      <c r="F45" s="8" t="s">
        <v>12</v>
      </c>
      <c r="G45" s="8">
        <v>18</v>
      </c>
      <c r="H45" s="8">
        <v>250</v>
      </c>
      <c r="I45" s="11">
        <v>0</v>
      </c>
    </row>
    <row r="46" spans="1:9">
      <c r="A46" s="4">
        <v>1045</v>
      </c>
      <c r="B46" s="5">
        <v>45743</v>
      </c>
      <c r="C46" s="4" t="s">
        <v>31</v>
      </c>
      <c r="D46" s="4" t="s">
        <v>26</v>
      </c>
      <c r="E46" s="4" t="s">
        <v>17</v>
      </c>
      <c r="F46" s="4" t="s">
        <v>15</v>
      </c>
      <c r="G46" s="4">
        <v>16</v>
      </c>
      <c r="H46" s="6">
        <v>8500</v>
      </c>
      <c r="I46" s="7">
        <v>0.1</v>
      </c>
    </row>
    <row r="47" spans="1:9">
      <c r="A47" s="8">
        <v>1046</v>
      </c>
      <c r="B47" s="9">
        <v>45688</v>
      </c>
      <c r="C47" s="8" t="s">
        <v>13</v>
      </c>
      <c r="D47" s="8" t="s">
        <v>10</v>
      </c>
      <c r="E47" s="8" t="s">
        <v>22</v>
      </c>
      <c r="F47" s="8" t="s">
        <v>27</v>
      </c>
      <c r="G47" s="8">
        <v>13</v>
      </c>
      <c r="H47" s="10">
        <v>1200</v>
      </c>
      <c r="I47" s="11">
        <v>0</v>
      </c>
    </row>
    <row r="48" spans="1:9">
      <c r="A48" s="4">
        <v>1047</v>
      </c>
      <c r="B48" s="5">
        <v>45890</v>
      </c>
      <c r="C48" s="4" t="s">
        <v>21</v>
      </c>
      <c r="D48" s="4" t="s">
        <v>10</v>
      </c>
      <c r="E48" s="4" t="s">
        <v>22</v>
      </c>
      <c r="F48" s="4" t="s">
        <v>32</v>
      </c>
      <c r="G48" s="4">
        <v>14</v>
      </c>
      <c r="H48" s="6">
        <v>14000</v>
      </c>
      <c r="I48" s="7">
        <v>0.15</v>
      </c>
    </row>
    <row r="49" spans="1:9">
      <c r="A49" s="8">
        <v>1048</v>
      </c>
      <c r="B49" s="9">
        <v>45755</v>
      </c>
      <c r="C49" s="8" t="s">
        <v>21</v>
      </c>
      <c r="D49" s="8" t="s">
        <v>10</v>
      </c>
      <c r="E49" s="8" t="s">
        <v>14</v>
      </c>
      <c r="F49" s="8" t="s">
        <v>23</v>
      </c>
      <c r="G49" s="8">
        <v>7</v>
      </c>
      <c r="H49" s="10">
        <v>14000</v>
      </c>
      <c r="I49" s="11">
        <v>0</v>
      </c>
    </row>
    <row r="50" spans="1:9">
      <c r="A50" s="4">
        <v>1049</v>
      </c>
      <c r="B50" s="5">
        <v>45687</v>
      </c>
      <c r="C50" s="4" t="s">
        <v>16</v>
      </c>
      <c r="D50" s="4" t="s">
        <v>10</v>
      </c>
      <c r="E50" s="4" t="s">
        <v>17</v>
      </c>
      <c r="F50" s="4" t="s">
        <v>18</v>
      </c>
      <c r="G50" s="4">
        <v>19</v>
      </c>
      <c r="H50" s="6">
        <v>55000</v>
      </c>
      <c r="I50" s="7">
        <v>0.1</v>
      </c>
    </row>
    <row r="51" spans="1:9">
      <c r="A51" s="8">
        <v>1050</v>
      </c>
      <c r="B51" s="9">
        <v>45918</v>
      </c>
      <c r="C51" s="8" t="s">
        <v>9</v>
      </c>
      <c r="D51" s="8" t="s">
        <v>10</v>
      </c>
      <c r="E51" s="8" t="s">
        <v>14</v>
      </c>
      <c r="F51" s="8" t="s">
        <v>12</v>
      </c>
      <c r="G51" s="8">
        <v>6</v>
      </c>
      <c r="H51" s="10">
        <v>18000</v>
      </c>
      <c r="I51" s="11">
        <v>0</v>
      </c>
    </row>
    <row r="52" spans="1:9">
      <c r="A52" s="4">
        <v>1051</v>
      </c>
      <c r="B52" s="5">
        <v>45864</v>
      </c>
      <c r="C52" s="4" t="s">
        <v>9</v>
      </c>
      <c r="D52" s="4" t="s">
        <v>10</v>
      </c>
      <c r="E52" s="4" t="s">
        <v>14</v>
      </c>
      <c r="F52" s="4" t="s">
        <v>24</v>
      </c>
      <c r="G52" s="4">
        <v>19</v>
      </c>
      <c r="H52" s="6">
        <v>18000</v>
      </c>
      <c r="I52" s="7">
        <v>0.05</v>
      </c>
    </row>
    <row r="53" spans="1:9">
      <c r="A53" s="8">
        <v>1052</v>
      </c>
      <c r="B53" s="9">
        <v>45872</v>
      </c>
      <c r="C53" s="8" t="s">
        <v>29</v>
      </c>
      <c r="D53" s="8" t="s">
        <v>30</v>
      </c>
      <c r="E53" s="8" t="s">
        <v>11</v>
      </c>
      <c r="F53" s="8" t="s">
        <v>27</v>
      </c>
      <c r="G53" s="8">
        <v>19</v>
      </c>
      <c r="H53" s="8">
        <v>250</v>
      </c>
      <c r="I53" s="11">
        <v>0.12</v>
      </c>
    </row>
    <row r="54" spans="1:9">
      <c r="A54" s="4">
        <v>1053</v>
      </c>
      <c r="B54" s="5">
        <v>45762</v>
      </c>
      <c r="C54" s="4" t="s">
        <v>29</v>
      </c>
      <c r="D54" s="4" t="s">
        <v>30</v>
      </c>
      <c r="E54" s="4" t="s">
        <v>11</v>
      </c>
      <c r="F54" s="4" t="s">
        <v>15</v>
      </c>
      <c r="G54" s="4">
        <v>11</v>
      </c>
      <c r="H54" s="4">
        <v>250</v>
      </c>
      <c r="I54" s="7">
        <v>0.05</v>
      </c>
    </row>
    <row r="55" spans="1:9">
      <c r="A55" s="8">
        <v>1054</v>
      </c>
      <c r="B55" s="9">
        <v>45725</v>
      </c>
      <c r="C55" s="8" t="s">
        <v>29</v>
      </c>
      <c r="D55" s="8" t="s">
        <v>30</v>
      </c>
      <c r="E55" s="8" t="s">
        <v>11</v>
      </c>
      <c r="F55" s="8" t="s">
        <v>24</v>
      </c>
      <c r="G55" s="8">
        <v>10</v>
      </c>
      <c r="H55" s="8">
        <v>250</v>
      </c>
      <c r="I55" s="11">
        <v>0.1</v>
      </c>
    </row>
    <row r="56" spans="1:9">
      <c r="A56" s="4">
        <v>1055</v>
      </c>
      <c r="B56" s="5">
        <v>45662</v>
      </c>
      <c r="C56" s="4" t="s">
        <v>34</v>
      </c>
      <c r="D56" s="4" t="s">
        <v>26</v>
      </c>
      <c r="E56" s="4" t="s">
        <v>14</v>
      </c>
      <c r="F56" s="4" t="s">
        <v>24</v>
      </c>
      <c r="G56" s="4">
        <v>20</v>
      </c>
      <c r="H56" s="6">
        <v>15000</v>
      </c>
      <c r="I56" s="7">
        <v>0.12</v>
      </c>
    </row>
    <row r="57" spans="1:9">
      <c r="A57" s="8">
        <v>1056</v>
      </c>
      <c r="B57" s="9">
        <v>45933</v>
      </c>
      <c r="C57" s="8" t="s">
        <v>19</v>
      </c>
      <c r="D57" s="8" t="s">
        <v>10</v>
      </c>
      <c r="E57" s="8" t="s">
        <v>17</v>
      </c>
      <c r="F57" s="8" t="s">
        <v>23</v>
      </c>
      <c r="G57" s="8">
        <v>17</v>
      </c>
      <c r="H57" s="8">
        <v>800</v>
      </c>
      <c r="I57" s="11">
        <v>0.08</v>
      </c>
    </row>
    <row r="58" spans="1:9">
      <c r="A58" s="4">
        <v>1057</v>
      </c>
      <c r="B58" s="5">
        <v>45693</v>
      </c>
      <c r="C58" s="4" t="s">
        <v>37</v>
      </c>
      <c r="D58" s="4" t="s">
        <v>36</v>
      </c>
      <c r="E58" s="4" t="s">
        <v>11</v>
      </c>
      <c r="F58" s="4" t="s">
        <v>32</v>
      </c>
      <c r="G58" s="4">
        <v>8</v>
      </c>
      <c r="H58" s="6">
        <v>1800</v>
      </c>
      <c r="I58" s="7">
        <v>0.08</v>
      </c>
    </row>
    <row r="59" spans="1:9">
      <c r="A59" s="8">
        <v>1058</v>
      </c>
      <c r="B59" s="9">
        <v>45882</v>
      </c>
      <c r="C59" s="8" t="s">
        <v>38</v>
      </c>
      <c r="D59" s="8" t="s">
        <v>10</v>
      </c>
      <c r="E59" s="8" t="s">
        <v>11</v>
      </c>
      <c r="F59" s="8" t="s">
        <v>18</v>
      </c>
      <c r="G59" s="8">
        <v>18</v>
      </c>
      <c r="H59" s="10">
        <v>42000</v>
      </c>
      <c r="I59" s="11">
        <v>0.15</v>
      </c>
    </row>
    <row r="60" spans="1:9">
      <c r="A60" s="4">
        <v>1059</v>
      </c>
      <c r="B60" s="5">
        <v>45999</v>
      </c>
      <c r="C60" s="4" t="s">
        <v>38</v>
      </c>
      <c r="D60" s="4" t="s">
        <v>10</v>
      </c>
      <c r="E60" s="4" t="s">
        <v>14</v>
      </c>
      <c r="F60" s="4" t="s">
        <v>32</v>
      </c>
      <c r="G60" s="4">
        <v>18</v>
      </c>
      <c r="H60" s="6">
        <v>42000</v>
      </c>
      <c r="I60" s="7">
        <v>0.08</v>
      </c>
    </row>
    <row r="61" spans="1:9">
      <c r="A61" s="8">
        <v>1060</v>
      </c>
      <c r="B61" s="9">
        <v>45793</v>
      </c>
      <c r="C61" s="8" t="s">
        <v>9</v>
      </c>
      <c r="D61" s="8" t="s">
        <v>10</v>
      </c>
      <c r="E61" s="8" t="s">
        <v>17</v>
      </c>
      <c r="F61" s="8" t="s">
        <v>27</v>
      </c>
      <c r="G61" s="8">
        <v>4</v>
      </c>
      <c r="H61" s="10">
        <v>18000</v>
      </c>
      <c r="I61" s="11">
        <v>0.15</v>
      </c>
    </row>
    <row r="62" spans="1:9">
      <c r="A62" s="4">
        <v>1061</v>
      </c>
      <c r="B62" s="5">
        <v>45802</v>
      </c>
      <c r="C62" s="4" t="s">
        <v>28</v>
      </c>
      <c r="D62" s="4" t="s">
        <v>26</v>
      </c>
      <c r="E62" s="4" t="s">
        <v>11</v>
      </c>
      <c r="F62" s="4" t="s">
        <v>12</v>
      </c>
      <c r="G62" s="4">
        <v>7</v>
      </c>
      <c r="H62" s="6">
        <v>9000</v>
      </c>
      <c r="I62" s="7">
        <v>0.15</v>
      </c>
    </row>
    <row r="63" spans="1:9">
      <c r="A63" s="8">
        <v>1062</v>
      </c>
      <c r="B63" s="9">
        <v>46009</v>
      </c>
      <c r="C63" s="8" t="s">
        <v>29</v>
      </c>
      <c r="D63" s="8" t="s">
        <v>30</v>
      </c>
      <c r="E63" s="8" t="s">
        <v>22</v>
      </c>
      <c r="F63" s="8" t="s">
        <v>27</v>
      </c>
      <c r="G63" s="8">
        <v>9</v>
      </c>
      <c r="H63" s="8">
        <v>250</v>
      </c>
      <c r="I63" s="11">
        <v>0.12</v>
      </c>
    </row>
    <row r="64" spans="1:9">
      <c r="A64" s="4">
        <v>1063</v>
      </c>
      <c r="B64" s="5">
        <v>45684</v>
      </c>
      <c r="C64" s="4" t="s">
        <v>9</v>
      </c>
      <c r="D64" s="4" t="s">
        <v>10</v>
      </c>
      <c r="E64" s="4" t="s">
        <v>14</v>
      </c>
      <c r="F64" s="4" t="s">
        <v>18</v>
      </c>
      <c r="G64" s="4">
        <v>14</v>
      </c>
      <c r="H64" s="6">
        <v>18000</v>
      </c>
      <c r="I64" s="7">
        <v>0.08</v>
      </c>
    </row>
    <row r="65" spans="1:9">
      <c r="A65" s="8">
        <v>1064</v>
      </c>
      <c r="B65" s="9">
        <v>45828</v>
      </c>
      <c r="C65" s="8" t="s">
        <v>35</v>
      </c>
      <c r="D65" s="8" t="s">
        <v>36</v>
      </c>
      <c r="E65" s="8" t="s">
        <v>11</v>
      </c>
      <c r="F65" s="8" t="s">
        <v>32</v>
      </c>
      <c r="G65" s="8">
        <v>5</v>
      </c>
      <c r="H65" s="10">
        <v>3500</v>
      </c>
      <c r="I65" s="11">
        <v>0.15</v>
      </c>
    </row>
    <row r="66" spans="1:9">
      <c r="A66" s="4">
        <v>1065</v>
      </c>
      <c r="B66" s="5">
        <v>45884</v>
      </c>
      <c r="C66" s="4" t="s">
        <v>25</v>
      </c>
      <c r="D66" s="4" t="s">
        <v>26</v>
      </c>
      <c r="E66" s="4" t="s">
        <v>14</v>
      </c>
      <c r="F66" s="4" t="s">
        <v>24</v>
      </c>
      <c r="G66" s="4">
        <v>14</v>
      </c>
      <c r="H66" s="6">
        <v>11000</v>
      </c>
      <c r="I66" s="7">
        <v>0.12</v>
      </c>
    </row>
    <row r="67" spans="1:9">
      <c r="A67" s="8">
        <v>1066</v>
      </c>
      <c r="B67" s="9">
        <v>45696</v>
      </c>
      <c r="C67" s="8" t="s">
        <v>37</v>
      </c>
      <c r="D67" s="8" t="s">
        <v>36</v>
      </c>
      <c r="E67" s="8" t="s">
        <v>14</v>
      </c>
      <c r="F67" s="8" t="s">
        <v>23</v>
      </c>
      <c r="G67" s="8">
        <v>5</v>
      </c>
      <c r="H67" s="10">
        <v>1800</v>
      </c>
      <c r="I67" s="11">
        <v>0.12</v>
      </c>
    </row>
    <row r="68" spans="1:9">
      <c r="A68" s="4">
        <v>1067</v>
      </c>
      <c r="B68" s="5">
        <v>45956</v>
      </c>
      <c r="C68" s="4" t="s">
        <v>25</v>
      </c>
      <c r="D68" s="4" t="s">
        <v>26</v>
      </c>
      <c r="E68" s="4" t="s">
        <v>17</v>
      </c>
      <c r="F68" s="4" t="s">
        <v>18</v>
      </c>
      <c r="G68" s="4">
        <v>5</v>
      </c>
      <c r="H68" s="6">
        <v>11000</v>
      </c>
      <c r="I68" s="7">
        <v>0.1</v>
      </c>
    </row>
    <row r="69" spans="1:9">
      <c r="A69" s="8">
        <v>1068</v>
      </c>
      <c r="B69" s="9">
        <v>45815</v>
      </c>
      <c r="C69" s="8" t="s">
        <v>33</v>
      </c>
      <c r="D69" s="8" t="s">
        <v>10</v>
      </c>
      <c r="E69" s="8" t="s">
        <v>17</v>
      </c>
      <c r="F69" s="8" t="s">
        <v>12</v>
      </c>
      <c r="G69" s="8">
        <v>2</v>
      </c>
      <c r="H69" s="10">
        <v>2500</v>
      </c>
      <c r="I69" s="11">
        <v>0.08</v>
      </c>
    </row>
    <row r="70" spans="1:9">
      <c r="A70" s="4">
        <v>1069</v>
      </c>
      <c r="B70" s="5">
        <v>45999</v>
      </c>
      <c r="C70" s="4" t="s">
        <v>9</v>
      </c>
      <c r="D70" s="4" t="s">
        <v>10</v>
      </c>
      <c r="E70" s="4" t="s">
        <v>22</v>
      </c>
      <c r="F70" s="4" t="s">
        <v>32</v>
      </c>
      <c r="G70" s="4">
        <v>12</v>
      </c>
      <c r="H70" s="6">
        <v>18000</v>
      </c>
      <c r="I70" s="7">
        <v>0.12</v>
      </c>
    </row>
    <row r="71" spans="1:9">
      <c r="A71" s="8">
        <v>1070</v>
      </c>
      <c r="B71" s="9">
        <v>45779</v>
      </c>
      <c r="C71" s="8" t="s">
        <v>38</v>
      </c>
      <c r="D71" s="8" t="s">
        <v>10</v>
      </c>
      <c r="E71" s="8" t="s">
        <v>22</v>
      </c>
      <c r="F71" s="8" t="s">
        <v>18</v>
      </c>
      <c r="G71" s="8">
        <v>6</v>
      </c>
      <c r="H71" s="10">
        <v>42000</v>
      </c>
      <c r="I71" s="11">
        <v>0.05</v>
      </c>
    </row>
    <row r="72" spans="1:9">
      <c r="A72" s="4">
        <v>1071</v>
      </c>
      <c r="B72" s="5">
        <v>45749</v>
      </c>
      <c r="C72" s="4" t="s">
        <v>39</v>
      </c>
      <c r="D72" s="4" t="s">
        <v>30</v>
      </c>
      <c r="E72" s="4" t="s">
        <v>17</v>
      </c>
      <c r="F72" s="4" t="s">
        <v>27</v>
      </c>
      <c r="G72" s="4">
        <v>11</v>
      </c>
      <c r="H72" s="4">
        <v>180</v>
      </c>
      <c r="I72" s="7">
        <v>0.1</v>
      </c>
    </row>
    <row r="73" spans="1:9">
      <c r="A73" s="8">
        <v>1072</v>
      </c>
      <c r="B73" s="9">
        <v>45739</v>
      </c>
      <c r="C73" s="8" t="s">
        <v>35</v>
      </c>
      <c r="D73" s="8" t="s">
        <v>36</v>
      </c>
      <c r="E73" s="8" t="s">
        <v>14</v>
      </c>
      <c r="F73" s="8" t="s">
        <v>20</v>
      </c>
      <c r="G73" s="8">
        <v>4</v>
      </c>
      <c r="H73" s="10">
        <v>3500</v>
      </c>
      <c r="I73" s="11">
        <v>0.1</v>
      </c>
    </row>
    <row r="74" spans="1:9">
      <c r="A74" s="4">
        <v>1073</v>
      </c>
      <c r="B74" s="5">
        <v>45771</v>
      </c>
      <c r="C74" s="4" t="s">
        <v>19</v>
      </c>
      <c r="D74" s="4" t="s">
        <v>10</v>
      </c>
      <c r="E74" s="4" t="s">
        <v>11</v>
      </c>
      <c r="F74" s="4" t="s">
        <v>12</v>
      </c>
      <c r="G74" s="4">
        <v>15</v>
      </c>
      <c r="H74" s="4">
        <v>800</v>
      </c>
      <c r="I74" s="7">
        <v>0.08</v>
      </c>
    </row>
    <row r="75" spans="1:9">
      <c r="A75" s="8">
        <v>1074</v>
      </c>
      <c r="B75" s="9">
        <v>45772</v>
      </c>
      <c r="C75" s="8" t="s">
        <v>16</v>
      </c>
      <c r="D75" s="8" t="s">
        <v>10</v>
      </c>
      <c r="E75" s="8" t="s">
        <v>11</v>
      </c>
      <c r="F75" s="8" t="s">
        <v>27</v>
      </c>
      <c r="G75" s="8">
        <v>7</v>
      </c>
      <c r="H75" s="10">
        <v>55000</v>
      </c>
      <c r="I75" s="11">
        <v>0.1</v>
      </c>
    </row>
    <row r="76" spans="1:9">
      <c r="A76" s="4">
        <v>1074</v>
      </c>
      <c r="B76" s="5">
        <v>45693</v>
      </c>
      <c r="C76" s="4" t="s">
        <v>35</v>
      </c>
      <c r="D76" s="4" t="s">
        <v>36</v>
      </c>
      <c r="E76" s="4" t="s">
        <v>22</v>
      </c>
      <c r="F76" s="4" t="s">
        <v>23</v>
      </c>
      <c r="G76" s="4">
        <v>9</v>
      </c>
      <c r="H76" s="6">
        <v>3500</v>
      </c>
      <c r="I76" s="7">
        <v>0.08</v>
      </c>
    </row>
    <row r="77" spans="1:9">
      <c r="A77" s="8">
        <v>1076</v>
      </c>
      <c r="B77" s="9">
        <v>45672</v>
      </c>
      <c r="C77" s="8" t="s">
        <v>9</v>
      </c>
      <c r="D77" s="8" t="s">
        <v>10</v>
      </c>
      <c r="E77" s="8" t="s">
        <v>11</v>
      </c>
      <c r="F77" s="8" t="s">
        <v>18</v>
      </c>
      <c r="G77" s="8">
        <v>9</v>
      </c>
      <c r="H77" s="10">
        <v>18000</v>
      </c>
      <c r="I77" s="11">
        <v>0.05</v>
      </c>
    </row>
    <row r="78" spans="1:9">
      <c r="A78" s="4">
        <v>1077</v>
      </c>
      <c r="B78" s="5">
        <v>45713</v>
      </c>
      <c r="C78" s="4" t="s">
        <v>28</v>
      </c>
      <c r="D78" s="4" t="s">
        <v>26</v>
      </c>
      <c r="E78" s="4" t="s">
        <v>11</v>
      </c>
      <c r="F78" s="4" t="s">
        <v>15</v>
      </c>
      <c r="G78" s="4">
        <v>14</v>
      </c>
      <c r="H78" s="6">
        <v>9000</v>
      </c>
      <c r="I78" s="7">
        <v>0.08</v>
      </c>
    </row>
    <row r="79" spans="1:9">
      <c r="A79" s="8">
        <v>1078</v>
      </c>
      <c r="B79" s="9">
        <v>45968</v>
      </c>
      <c r="C79" s="8" t="s">
        <v>25</v>
      </c>
      <c r="D79" s="8" t="s">
        <v>26</v>
      </c>
      <c r="E79" s="8" t="s">
        <v>17</v>
      </c>
      <c r="F79" s="8" t="s">
        <v>27</v>
      </c>
      <c r="G79" s="8">
        <v>4</v>
      </c>
      <c r="H79" s="10">
        <v>11000</v>
      </c>
      <c r="I79" s="11">
        <v>0.1</v>
      </c>
    </row>
    <row r="80" spans="1:9">
      <c r="A80" s="4">
        <v>1079</v>
      </c>
      <c r="B80" s="5">
        <v>45680</v>
      </c>
      <c r="C80" s="4" t="s">
        <v>39</v>
      </c>
      <c r="D80" s="4" t="s">
        <v>30</v>
      </c>
      <c r="E80" s="4" t="s">
        <v>17</v>
      </c>
      <c r="F80" s="4" t="s">
        <v>23</v>
      </c>
      <c r="G80" s="4">
        <v>14</v>
      </c>
      <c r="H80" s="4">
        <v>180</v>
      </c>
      <c r="I80" s="7">
        <v>0</v>
      </c>
    </row>
    <row r="81" spans="1:9">
      <c r="A81" s="8">
        <v>1080</v>
      </c>
      <c r="B81" s="9">
        <v>45878</v>
      </c>
      <c r="C81" s="8" t="s">
        <v>9</v>
      </c>
      <c r="D81" s="8" t="s">
        <v>10</v>
      </c>
      <c r="E81" s="8" t="s">
        <v>11</v>
      </c>
      <c r="F81" s="8" t="s">
        <v>24</v>
      </c>
      <c r="G81" s="8">
        <v>11</v>
      </c>
      <c r="H81" s="10">
        <v>18000</v>
      </c>
      <c r="I81" s="11">
        <v>0.12</v>
      </c>
    </row>
    <row r="82" spans="1:9">
      <c r="A82" s="4">
        <v>1081</v>
      </c>
      <c r="B82" s="5">
        <v>45811</v>
      </c>
      <c r="C82" s="4" t="s">
        <v>25</v>
      </c>
      <c r="D82" s="4" t="s">
        <v>26</v>
      </c>
      <c r="E82" s="4" t="s">
        <v>22</v>
      </c>
      <c r="F82" s="4" t="s">
        <v>23</v>
      </c>
      <c r="G82" s="4">
        <v>10</v>
      </c>
      <c r="H82" s="6">
        <v>11000</v>
      </c>
      <c r="I82" s="7">
        <v>0.15</v>
      </c>
    </row>
    <row r="83" spans="1:9">
      <c r="A83" s="8">
        <v>1082</v>
      </c>
      <c r="B83" s="9">
        <v>45864</v>
      </c>
      <c r="C83" s="8" t="s">
        <v>39</v>
      </c>
      <c r="D83" s="8" t="s">
        <v>30</v>
      </c>
      <c r="E83" s="8" t="s">
        <v>17</v>
      </c>
      <c r="F83" s="8" t="s">
        <v>12</v>
      </c>
      <c r="G83" s="8">
        <v>10</v>
      </c>
      <c r="H83" s="8">
        <v>180</v>
      </c>
      <c r="I83" s="11">
        <v>0.12</v>
      </c>
    </row>
    <row r="84" spans="1:9">
      <c r="A84" s="4">
        <v>1083</v>
      </c>
      <c r="B84" s="5">
        <v>45873</v>
      </c>
      <c r="C84" s="4" t="s">
        <v>29</v>
      </c>
      <c r="D84" s="4" t="s">
        <v>30</v>
      </c>
      <c r="E84" s="4" t="s">
        <v>17</v>
      </c>
      <c r="F84" s="4" t="s">
        <v>27</v>
      </c>
      <c r="G84" s="4">
        <v>13</v>
      </c>
      <c r="H84" s="4">
        <v>250</v>
      </c>
      <c r="I84" s="7">
        <v>0.15</v>
      </c>
    </row>
    <row r="85" spans="1:9">
      <c r="A85" s="8">
        <v>1084</v>
      </c>
      <c r="B85" s="9">
        <v>45865</v>
      </c>
      <c r="C85" s="8" t="s">
        <v>25</v>
      </c>
      <c r="D85" s="8" t="s">
        <v>26</v>
      </c>
      <c r="E85" s="8" t="s">
        <v>11</v>
      </c>
      <c r="F85" s="8" t="s">
        <v>12</v>
      </c>
      <c r="G85" s="8">
        <v>1</v>
      </c>
      <c r="H85" s="10">
        <v>11000</v>
      </c>
      <c r="I85" s="11">
        <v>0.08</v>
      </c>
    </row>
    <row r="86" spans="1:9">
      <c r="A86" s="4">
        <v>1085</v>
      </c>
      <c r="B86" s="5">
        <v>45878</v>
      </c>
      <c r="C86" s="4" t="s">
        <v>35</v>
      </c>
      <c r="D86" s="4" t="s">
        <v>36</v>
      </c>
      <c r="E86" s="4" t="s">
        <v>11</v>
      </c>
      <c r="F86" s="4" t="s">
        <v>20</v>
      </c>
      <c r="G86" s="4">
        <v>19</v>
      </c>
      <c r="H86" s="6">
        <v>3500</v>
      </c>
      <c r="I86" s="7">
        <v>0.12</v>
      </c>
    </row>
    <row r="87" spans="1:9">
      <c r="A87" s="8">
        <v>1086</v>
      </c>
      <c r="B87" s="9">
        <v>45884</v>
      </c>
      <c r="C87" s="8" t="s">
        <v>34</v>
      </c>
      <c r="D87" s="8" t="s">
        <v>26</v>
      </c>
      <c r="E87" s="8" t="s">
        <v>22</v>
      </c>
      <c r="F87" s="8" t="s">
        <v>32</v>
      </c>
      <c r="G87" s="8">
        <v>7</v>
      </c>
      <c r="H87" s="10">
        <v>15000</v>
      </c>
      <c r="I87" s="11">
        <v>0.12</v>
      </c>
    </row>
    <row r="88" spans="1:9">
      <c r="A88" s="4">
        <v>1087</v>
      </c>
      <c r="B88" s="5">
        <v>45995</v>
      </c>
      <c r="C88" s="4" t="s">
        <v>9</v>
      </c>
      <c r="D88" s="4" t="s">
        <v>10</v>
      </c>
      <c r="E88" s="4" t="s">
        <v>11</v>
      </c>
      <c r="F88" s="4" t="s">
        <v>24</v>
      </c>
      <c r="G88" s="4">
        <v>10</v>
      </c>
      <c r="H88" s="6">
        <v>18000</v>
      </c>
      <c r="I88" s="7">
        <v>0.12</v>
      </c>
    </row>
    <row r="89" spans="1:9">
      <c r="A89" s="8">
        <v>1088</v>
      </c>
      <c r="B89" s="9">
        <v>45778</v>
      </c>
      <c r="C89" s="8" t="s">
        <v>29</v>
      </c>
      <c r="D89" s="8" t="s">
        <v>30</v>
      </c>
      <c r="E89" s="8" t="s">
        <v>17</v>
      </c>
      <c r="F89" s="8" t="s">
        <v>32</v>
      </c>
      <c r="G89" s="8">
        <v>10</v>
      </c>
      <c r="H89" s="8">
        <v>250</v>
      </c>
      <c r="I89" s="11">
        <v>0.05</v>
      </c>
    </row>
    <row r="90" spans="1:9">
      <c r="A90" s="4">
        <v>1089</v>
      </c>
      <c r="B90" s="5">
        <v>45670</v>
      </c>
      <c r="C90" s="4" t="s">
        <v>16</v>
      </c>
      <c r="D90" s="4" t="s">
        <v>10</v>
      </c>
      <c r="E90" s="4" t="s">
        <v>14</v>
      </c>
      <c r="F90" s="4" t="s">
        <v>20</v>
      </c>
      <c r="G90" s="4">
        <v>8</v>
      </c>
      <c r="H90" s="6">
        <v>55000</v>
      </c>
      <c r="I90" s="7">
        <v>0.1</v>
      </c>
    </row>
    <row r="91" spans="1:9">
      <c r="A91" s="8">
        <v>1090</v>
      </c>
      <c r="B91" s="9">
        <v>45870</v>
      </c>
      <c r="C91" s="8" t="s">
        <v>37</v>
      </c>
      <c r="D91" s="8" t="s">
        <v>36</v>
      </c>
      <c r="E91" s="8" t="s">
        <v>22</v>
      </c>
      <c r="F91" s="8" t="s">
        <v>20</v>
      </c>
      <c r="G91" s="8">
        <v>19</v>
      </c>
      <c r="H91" s="10">
        <v>1800</v>
      </c>
      <c r="I91" s="11">
        <v>0.05</v>
      </c>
    </row>
    <row r="92" spans="1:9">
      <c r="A92" s="4">
        <v>1091</v>
      </c>
      <c r="B92" s="5">
        <v>45862</v>
      </c>
      <c r="C92" s="4" t="s">
        <v>19</v>
      </c>
      <c r="D92" s="4" t="s">
        <v>10</v>
      </c>
      <c r="E92" s="4" t="s">
        <v>14</v>
      </c>
      <c r="F92" s="4" t="s">
        <v>24</v>
      </c>
      <c r="G92" s="4">
        <v>5</v>
      </c>
      <c r="H92" s="4">
        <v>800</v>
      </c>
      <c r="I92" s="7">
        <v>0.15</v>
      </c>
    </row>
    <row r="93" spans="1:9">
      <c r="A93" s="8">
        <v>1092</v>
      </c>
      <c r="B93" s="9">
        <v>45875</v>
      </c>
      <c r="C93" s="8" t="s">
        <v>19</v>
      </c>
      <c r="D93" s="8" t="s">
        <v>10</v>
      </c>
      <c r="E93" s="8" t="s">
        <v>22</v>
      </c>
      <c r="F93" s="8" t="s">
        <v>18</v>
      </c>
      <c r="G93" s="8">
        <v>6</v>
      </c>
      <c r="H93" s="8">
        <v>800</v>
      </c>
      <c r="I93" s="11">
        <v>0.15</v>
      </c>
    </row>
    <row r="94" spans="1:9">
      <c r="A94" s="4">
        <v>1093</v>
      </c>
      <c r="B94" s="5">
        <v>45943</v>
      </c>
      <c r="C94" s="4" t="s">
        <v>19</v>
      </c>
      <c r="D94" s="4" t="s">
        <v>10</v>
      </c>
      <c r="E94" s="4" t="s">
        <v>17</v>
      </c>
      <c r="F94" s="4" t="s">
        <v>20</v>
      </c>
      <c r="G94" s="4">
        <v>4</v>
      </c>
      <c r="H94" s="4">
        <v>800</v>
      </c>
      <c r="I94" s="7">
        <v>0.1</v>
      </c>
    </row>
    <row r="95" spans="1:9">
      <c r="A95" s="8">
        <v>1094</v>
      </c>
      <c r="B95" s="9">
        <v>45999</v>
      </c>
      <c r="C95" s="8" t="s">
        <v>25</v>
      </c>
      <c r="D95" s="8" t="s">
        <v>26</v>
      </c>
      <c r="E95" s="8" t="s">
        <v>11</v>
      </c>
      <c r="F95" s="8" t="s">
        <v>20</v>
      </c>
      <c r="G95" s="8">
        <v>18</v>
      </c>
      <c r="H95" s="10">
        <v>11000</v>
      </c>
      <c r="I95" s="11">
        <v>0.12</v>
      </c>
    </row>
    <row r="96" spans="1:9">
      <c r="A96" s="4">
        <v>1095</v>
      </c>
      <c r="B96" s="5">
        <v>45971</v>
      </c>
      <c r="C96" s="4" t="s">
        <v>38</v>
      </c>
      <c r="D96" s="4" t="s">
        <v>10</v>
      </c>
      <c r="E96" s="4" t="s">
        <v>22</v>
      </c>
      <c r="F96" s="4" t="s">
        <v>32</v>
      </c>
      <c r="G96" s="4">
        <v>17</v>
      </c>
      <c r="H96" s="6">
        <v>42000</v>
      </c>
      <c r="I96" s="7">
        <v>0.1</v>
      </c>
    </row>
    <row r="97" spans="1:9">
      <c r="A97" s="8">
        <v>1096</v>
      </c>
      <c r="B97" s="9">
        <v>45901</v>
      </c>
      <c r="C97" s="8" t="s">
        <v>34</v>
      </c>
      <c r="D97" s="8" t="s">
        <v>26</v>
      </c>
      <c r="E97" s="8" t="s">
        <v>11</v>
      </c>
      <c r="F97" s="8" t="s">
        <v>20</v>
      </c>
      <c r="G97" s="8">
        <v>9</v>
      </c>
      <c r="H97" s="10">
        <v>15000</v>
      </c>
      <c r="I97" s="11">
        <v>0.05</v>
      </c>
    </row>
    <row r="98" spans="1:9">
      <c r="A98" s="4">
        <v>1097</v>
      </c>
      <c r="B98" s="5">
        <v>45978</v>
      </c>
      <c r="C98" s="4" t="s">
        <v>19</v>
      </c>
      <c r="D98" s="4" t="s">
        <v>10</v>
      </c>
      <c r="E98" s="4" t="s">
        <v>14</v>
      </c>
      <c r="F98" s="4" t="s">
        <v>27</v>
      </c>
      <c r="G98" s="4">
        <v>9</v>
      </c>
      <c r="H98" s="4">
        <v>800</v>
      </c>
      <c r="I98" s="7">
        <v>0.1</v>
      </c>
    </row>
    <row r="99" spans="1:9">
      <c r="A99" s="8">
        <v>1098</v>
      </c>
      <c r="B99" s="9">
        <v>45778</v>
      </c>
      <c r="C99" s="8" t="s">
        <v>21</v>
      </c>
      <c r="D99" s="8" t="s">
        <v>10</v>
      </c>
      <c r="E99" s="8" t="s">
        <v>14</v>
      </c>
      <c r="F99" s="8" t="s">
        <v>32</v>
      </c>
      <c r="G99" s="8">
        <v>11</v>
      </c>
      <c r="H99" s="10">
        <v>14000</v>
      </c>
      <c r="I99" s="11">
        <v>0.08</v>
      </c>
    </row>
    <row r="100" spans="1:9">
      <c r="A100" s="4">
        <v>1099</v>
      </c>
      <c r="B100" s="5">
        <v>45735</v>
      </c>
      <c r="C100" s="4" t="s">
        <v>19</v>
      </c>
      <c r="D100" s="4" t="s">
        <v>10</v>
      </c>
      <c r="E100" s="4" t="s">
        <v>17</v>
      </c>
      <c r="F100" s="4" t="s">
        <v>12</v>
      </c>
      <c r="G100" s="4">
        <v>13</v>
      </c>
      <c r="H100" s="4">
        <v>800</v>
      </c>
      <c r="I100" s="7">
        <v>0.15</v>
      </c>
    </row>
    <row r="101" spans="1:9">
      <c r="A101" s="8">
        <v>1100</v>
      </c>
      <c r="B101" s="9">
        <v>45690</v>
      </c>
      <c r="C101" s="8" t="s">
        <v>31</v>
      </c>
      <c r="D101" s="8" t="s">
        <v>26</v>
      </c>
      <c r="E101" s="8" t="s">
        <v>22</v>
      </c>
      <c r="F101" s="8" t="s">
        <v>15</v>
      </c>
      <c r="G101" s="8">
        <v>14</v>
      </c>
      <c r="H101" s="10">
        <v>8500</v>
      </c>
      <c r="I101" s="11">
        <v>0.08</v>
      </c>
    </row>
    <row r="102" spans="1:9">
      <c r="A102" s="4">
        <v>1101</v>
      </c>
      <c r="B102" s="5">
        <v>45689</v>
      </c>
      <c r="C102" s="4" t="s">
        <v>19</v>
      </c>
      <c r="D102" s="4" t="s">
        <v>10</v>
      </c>
      <c r="E102" s="4" t="s">
        <v>14</v>
      </c>
      <c r="F102" s="4" t="s">
        <v>15</v>
      </c>
      <c r="G102" s="4">
        <v>14</v>
      </c>
      <c r="H102" s="4">
        <v>800</v>
      </c>
      <c r="I102" s="7">
        <v>0.1</v>
      </c>
    </row>
    <row r="103" spans="1:9">
      <c r="A103" s="8">
        <v>1102</v>
      </c>
      <c r="B103" s="9">
        <v>45902</v>
      </c>
      <c r="C103" s="8" t="s">
        <v>16</v>
      </c>
      <c r="D103" s="8" t="s">
        <v>10</v>
      </c>
      <c r="E103" s="8" t="s">
        <v>22</v>
      </c>
      <c r="F103" s="8" t="s">
        <v>15</v>
      </c>
      <c r="G103" s="8">
        <v>12</v>
      </c>
      <c r="H103" s="10">
        <v>55000</v>
      </c>
      <c r="I103" s="11">
        <v>0.08</v>
      </c>
    </row>
    <row r="104" spans="1:9">
      <c r="A104" s="4">
        <v>1103</v>
      </c>
      <c r="B104" s="5">
        <v>45933</v>
      </c>
      <c r="C104" s="4" t="s">
        <v>39</v>
      </c>
      <c r="D104" s="4" t="s">
        <v>30</v>
      </c>
      <c r="E104" s="4" t="s">
        <v>17</v>
      </c>
      <c r="F104" s="4" t="s">
        <v>20</v>
      </c>
      <c r="G104" s="4">
        <v>18</v>
      </c>
      <c r="H104" s="4">
        <v>180</v>
      </c>
      <c r="I104" s="7">
        <v>0.12</v>
      </c>
    </row>
    <row r="105" spans="1:9">
      <c r="A105" s="8">
        <v>1104</v>
      </c>
      <c r="B105" s="9">
        <v>45770</v>
      </c>
      <c r="C105" s="8" t="s">
        <v>21</v>
      </c>
      <c r="D105" s="8" t="s">
        <v>10</v>
      </c>
      <c r="E105" s="8" t="s">
        <v>14</v>
      </c>
      <c r="F105" s="8" t="s">
        <v>15</v>
      </c>
      <c r="G105" s="8">
        <v>14</v>
      </c>
      <c r="H105" s="10">
        <v>14000</v>
      </c>
      <c r="I105" s="11">
        <v>0.1</v>
      </c>
    </row>
    <row r="106" spans="1:9">
      <c r="A106" s="4">
        <v>1105</v>
      </c>
      <c r="B106" s="5">
        <v>45830</v>
      </c>
      <c r="C106" s="4" t="s">
        <v>29</v>
      </c>
      <c r="D106" s="4" t="s">
        <v>30</v>
      </c>
      <c r="E106" s="4" t="s">
        <v>17</v>
      </c>
      <c r="F106" s="4" t="s">
        <v>20</v>
      </c>
      <c r="G106" s="4">
        <v>13</v>
      </c>
      <c r="H106" s="4">
        <v>250</v>
      </c>
      <c r="I106" s="7">
        <v>0.15</v>
      </c>
    </row>
    <row r="107" spans="1:9">
      <c r="A107" s="8">
        <v>1106</v>
      </c>
      <c r="B107" s="9">
        <v>45723</v>
      </c>
      <c r="C107" s="8" t="s">
        <v>28</v>
      </c>
      <c r="D107" s="8" t="s">
        <v>26</v>
      </c>
      <c r="E107" s="8" t="s">
        <v>22</v>
      </c>
      <c r="F107" s="8" t="s">
        <v>18</v>
      </c>
      <c r="G107" s="8">
        <v>18</v>
      </c>
      <c r="H107" s="10">
        <v>9000</v>
      </c>
      <c r="I107" s="11">
        <v>0</v>
      </c>
    </row>
    <row r="108" spans="1:9">
      <c r="A108" s="4">
        <v>1107</v>
      </c>
      <c r="B108" s="5">
        <v>45700</v>
      </c>
      <c r="C108" s="4" t="s">
        <v>29</v>
      </c>
      <c r="D108" s="4" t="s">
        <v>30</v>
      </c>
      <c r="E108" s="4" t="s">
        <v>22</v>
      </c>
      <c r="F108" s="4" t="s">
        <v>32</v>
      </c>
      <c r="G108" s="4">
        <v>14</v>
      </c>
      <c r="H108" s="4">
        <v>250</v>
      </c>
      <c r="I108" s="7">
        <v>0.05</v>
      </c>
    </row>
    <row r="109" spans="1:9">
      <c r="A109" s="8">
        <v>1108</v>
      </c>
      <c r="B109" s="9">
        <v>45683</v>
      </c>
      <c r="C109" s="8" t="s">
        <v>21</v>
      </c>
      <c r="D109" s="8" t="s">
        <v>10</v>
      </c>
      <c r="E109" s="8" t="s">
        <v>17</v>
      </c>
      <c r="F109" s="8" t="s">
        <v>20</v>
      </c>
      <c r="G109" s="8">
        <v>13</v>
      </c>
      <c r="H109" s="10">
        <v>14000</v>
      </c>
      <c r="I109" s="11">
        <v>0.08</v>
      </c>
    </row>
    <row r="110" spans="1:9">
      <c r="A110" s="4">
        <v>1109</v>
      </c>
      <c r="B110" s="5">
        <v>45825</v>
      </c>
      <c r="C110" s="4" t="s">
        <v>33</v>
      </c>
      <c r="D110" s="4" t="s">
        <v>10</v>
      </c>
      <c r="E110" s="4" t="s">
        <v>22</v>
      </c>
      <c r="F110" s="4" t="s">
        <v>27</v>
      </c>
      <c r="G110" s="4">
        <v>13</v>
      </c>
      <c r="H110" s="6">
        <v>2500</v>
      </c>
      <c r="I110" s="7">
        <v>0.08</v>
      </c>
    </row>
    <row r="111" spans="1:9">
      <c r="A111" s="8">
        <v>1110</v>
      </c>
      <c r="B111" s="9">
        <v>45699</v>
      </c>
      <c r="C111" s="8" t="s">
        <v>34</v>
      </c>
      <c r="D111" s="8" t="s">
        <v>26</v>
      </c>
      <c r="E111" s="8" t="s">
        <v>14</v>
      </c>
      <c r="F111" s="8" t="s">
        <v>23</v>
      </c>
      <c r="G111" s="8">
        <v>1</v>
      </c>
      <c r="H111" s="10">
        <v>15000</v>
      </c>
      <c r="I111" s="11">
        <v>0.15</v>
      </c>
    </row>
    <row r="112" spans="1:9">
      <c r="A112" s="4">
        <v>1111</v>
      </c>
      <c r="B112" s="5">
        <v>45772</v>
      </c>
      <c r="C112" s="4" t="s">
        <v>29</v>
      </c>
      <c r="D112" s="4" t="s">
        <v>30</v>
      </c>
      <c r="E112" s="4" t="s">
        <v>14</v>
      </c>
      <c r="F112" s="4" t="s">
        <v>18</v>
      </c>
      <c r="G112" s="4">
        <v>3</v>
      </c>
      <c r="H112" s="4">
        <v>250</v>
      </c>
      <c r="I112" s="7">
        <v>0.15</v>
      </c>
    </row>
    <row r="113" spans="1:9">
      <c r="A113" s="8">
        <v>1112</v>
      </c>
      <c r="B113" s="9">
        <v>45784</v>
      </c>
      <c r="C113" s="8" t="s">
        <v>19</v>
      </c>
      <c r="D113" s="8" t="s">
        <v>10</v>
      </c>
      <c r="E113" s="8" t="s">
        <v>17</v>
      </c>
      <c r="F113" s="8" t="s">
        <v>12</v>
      </c>
      <c r="G113" s="8">
        <v>1</v>
      </c>
      <c r="H113" s="8">
        <v>800</v>
      </c>
      <c r="I113" s="11">
        <v>0.12</v>
      </c>
    </row>
    <row r="114" spans="1:9">
      <c r="A114" s="4">
        <v>1113</v>
      </c>
      <c r="B114" s="5">
        <v>45722</v>
      </c>
      <c r="C114" s="4" t="s">
        <v>34</v>
      </c>
      <c r="D114" s="4" t="s">
        <v>26</v>
      </c>
      <c r="E114" s="4" t="s">
        <v>17</v>
      </c>
      <c r="F114" s="4" t="s">
        <v>20</v>
      </c>
      <c r="G114" s="4">
        <v>4</v>
      </c>
      <c r="H114" s="6">
        <v>15000</v>
      </c>
      <c r="I114" s="7">
        <v>0.12</v>
      </c>
    </row>
    <row r="115" spans="1:9">
      <c r="A115" s="8">
        <v>1114</v>
      </c>
      <c r="B115" s="9">
        <v>46016</v>
      </c>
      <c r="C115" s="8" t="s">
        <v>21</v>
      </c>
      <c r="D115" s="8" t="s">
        <v>10</v>
      </c>
      <c r="E115" s="8" t="s">
        <v>14</v>
      </c>
      <c r="F115" s="8" t="s">
        <v>32</v>
      </c>
      <c r="G115" s="8">
        <v>12</v>
      </c>
      <c r="H115" s="10">
        <v>14000</v>
      </c>
      <c r="I115" s="11">
        <v>0.05</v>
      </c>
    </row>
    <row r="116" spans="1:9">
      <c r="A116" s="4">
        <v>1115</v>
      </c>
      <c r="B116" s="5">
        <v>45817</v>
      </c>
      <c r="C116" s="4" t="s">
        <v>9</v>
      </c>
      <c r="D116" s="4" t="s">
        <v>10</v>
      </c>
      <c r="E116" s="4" t="s">
        <v>11</v>
      </c>
      <c r="F116" s="4" t="s">
        <v>15</v>
      </c>
      <c r="G116" s="4">
        <v>19</v>
      </c>
      <c r="H116" s="6">
        <v>18000</v>
      </c>
      <c r="I116" s="7">
        <v>0</v>
      </c>
    </row>
    <row r="117" spans="1:9">
      <c r="A117" s="8">
        <v>1116</v>
      </c>
      <c r="B117" s="9">
        <v>45861</v>
      </c>
      <c r="C117" s="8" t="s">
        <v>39</v>
      </c>
      <c r="D117" s="8" t="s">
        <v>30</v>
      </c>
      <c r="E117" s="8" t="s">
        <v>17</v>
      </c>
      <c r="F117" s="8" t="s">
        <v>24</v>
      </c>
      <c r="G117" s="8">
        <v>7</v>
      </c>
      <c r="H117" s="8">
        <v>180</v>
      </c>
      <c r="I117" s="11">
        <v>0</v>
      </c>
    </row>
    <row r="118" spans="1:9">
      <c r="A118" s="4">
        <v>1117</v>
      </c>
      <c r="B118" s="5">
        <v>46014</v>
      </c>
      <c r="C118" s="4" t="s">
        <v>35</v>
      </c>
      <c r="D118" s="4" t="s">
        <v>36</v>
      </c>
      <c r="E118" s="4" t="s">
        <v>14</v>
      </c>
      <c r="F118" s="4" t="s">
        <v>18</v>
      </c>
      <c r="G118" s="4">
        <v>10</v>
      </c>
      <c r="H118" s="6">
        <v>3500</v>
      </c>
      <c r="I118" s="7">
        <v>0.15</v>
      </c>
    </row>
    <row r="119" spans="1:9">
      <c r="A119" s="8">
        <v>1118</v>
      </c>
      <c r="B119" s="9">
        <v>45835</v>
      </c>
      <c r="C119" s="8" t="s">
        <v>25</v>
      </c>
      <c r="D119" s="8" t="s">
        <v>26</v>
      </c>
      <c r="E119" s="8" t="s">
        <v>11</v>
      </c>
      <c r="F119" s="8" t="s">
        <v>24</v>
      </c>
      <c r="G119" s="8">
        <v>14</v>
      </c>
      <c r="H119" s="10">
        <v>11000</v>
      </c>
      <c r="I119" s="11">
        <v>0.15</v>
      </c>
    </row>
    <row r="120" spans="1:9">
      <c r="A120" s="4">
        <v>1119</v>
      </c>
      <c r="B120" s="5">
        <v>45917</v>
      </c>
      <c r="C120" s="4" t="s">
        <v>29</v>
      </c>
      <c r="D120" s="4" t="s">
        <v>30</v>
      </c>
      <c r="E120" s="4" t="s">
        <v>22</v>
      </c>
      <c r="F120" s="4" t="s">
        <v>20</v>
      </c>
      <c r="G120" s="4">
        <v>11</v>
      </c>
      <c r="H120" s="4">
        <v>250</v>
      </c>
      <c r="I120" s="7">
        <v>0</v>
      </c>
    </row>
    <row r="121" spans="1:9">
      <c r="A121" s="8">
        <v>1120</v>
      </c>
      <c r="B121" s="9">
        <v>45712</v>
      </c>
      <c r="C121" s="8" t="s">
        <v>31</v>
      </c>
      <c r="D121" s="8" t="s">
        <v>26</v>
      </c>
      <c r="E121" s="8" t="s">
        <v>22</v>
      </c>
      <c r="F121" s="8" t="s">
        <v>32</v>
      </c>
      <c r="G121" s="8">
        <v>12</v>
      </c>
      <c r="H121" s="10">
        <v>8500</v>
      </c>
      <c r="I121" s="11">
        <v>0.15</v>
      </c>
    </row>
    <row r="122" spans="1:9">
      <c r="A122" s="4">
        <v>1121</v>
      </c>
      <c r="B122" s="5">
        <v>45880</v>
      </c>
      <c r="C122" s="4" t="s">
        <v>13</v>
      </c>
      <c r="D122" s="4" t="s">
        <v>10</v>
      </c>
      <c r="E122" s="4" t="s">
        <v>11</v>
      </c>
      <c r="F122" s="4" t="s">
        <v>20</v>
      </c>
      <c r="G122" s="4">
        <v>17</v>
      </c>
      <c r="H122" s="6">
        <v>1200</v>
      </c>
      <c r="I122" s="7">
        <v>0.15</v>
      </c>
    </row>
    <row r="123" spans="1:9">
      <c r="A123" s="8">
        <v>1122</v>
      </c>
      <c r="B123" s="9">
        <v>45896</v>
      </c>
      <c r="C123" s="8" t="s">
        <v>31</v>
      </c>
      <c r="D123" s="8" t="s">
        <v>26</v>
      </c>
      <c r="E123" s="8" t="s">
        <v>11</v>
      </c>
      <c r="F123" s="8" t="s">
        <v>12</v>
      </c>
      <c r="G123" s="8">
        <v>19</v>
      </c>
      <c r="H123" s="10">
        <v>8500</v>
      </c>
      <c r="I123" s="11">
        <v>0.08</v>
      </c>
    </row>
    <row r="124" spans="1:9">
      <c r="A124" s="4">
        <v>1123</v>
      </c>
      <c r="B124" s="5">
        <v>45702</v>
      </c>
      <c r="C124" s="4" t="s">
        <v>21</v>
      </c>
      <c r="D124" s="4" t="s">
        <v>10</v>
      </c>
      <c r="E124" s="4" t="s">
        <v>22</v>
      </c>
      <c r="F124" s="4" t="s">
        <v>15</v>
      </c>
      <c r="G124" s="4">
        <v>15</v>
      </c>
      <c r="H124" s="6">
        <v>14000</v>
      </c>
      <c r="I124" s="7">
        <v>0.05</v>
      </c>
    </row>
    <row r="125" spans="1:9">
      <c r="A125" s="8">
        <v>1124</v>
      </c>
      <c r="B125" s="9">
        <v>45830</v>
      </c>
      <c r="C125" s="8" t="s">
        <v>16</v>
      </c>
      <c r="D125" s="8" t="s">
        <v>10</v>
      </c>
      <c r="E125" s="8" t="s">
        <v>17</v>
      </c>
      <c r="F125" s="8" t="s">
        <v>20</v>
      </c>
      <c r="G125" s="8">
        <v>16</v>
      </c>
      <c r="H125" s="10">
        <v>55000</v>
      </c>
      <c r="I125" s="11">
        <v>0.08</v>
      </c>
    </row>
    <row r="126" spans="1:9">
      <c r="A126" s="4">
        <v>1125</v>
      </c>
      <c r="B126" s="5">
        <v>45766</v>
      </c>
      <c r="C126" s="4" t="s">
        <v>33</v>
      </c>
      <c r="D126" s="4" t="s">
        <v>10</v>
      </c>
      <c r="E126" s="4" t="s">
        <v>11</v>
      </c>
      <c r="F126" s="4" t="s">
        <v>27</v>
      </c>
      <c r="G126" s="4">
        <v>9</v>
      </c>
      <c r="H126" s="6">
        <v>2500</v>
      </c>
      <c r="I126" s="7">
        <v>0.08</v>
      </c>
    </row>
    <row r="127" spans="1:9">
      <c r="A127" s="8">
        <v>1126</v>
      </c>
      <c r="B127" s="9">
        <v>45942</v>
      </c>
      <c r="C127" s="8" t="s">
        <v>16</v>
      </c>
      <c r="D127" s="8" t="s">
        <v>10</v>
      </c>
      <c r="E127" s="8" t="s">
        <v>14</v>
      </c>
      <c r="F127" s="8" t="s">
        <v>12</v>
      </c>
      <c r="G127" s="8">
        <v>17</v>
      </c>
      <c r="H127" s="10">
        <v>55000</v>
      </c>
      <c r="I127" s="11">
        <v>0.05</v>
      </c>
    </row>
    <row r="128" spans="1:9">
      <c r="A128" s="4">
        <v>1127</v>
      </c>
      <c r="B128" s="5">
        <v>45866</v>
      </c>
      <c r="C128" s="4" t="s">
        <v>34</v>
      </c>
      <c r="D128" s="4" t="s">
        <v>26</v>
      </c>
      <c r="E128" s="4" t="s">
        <v>22</v>
      </c>
      <c r="F128" s="4" t="s">
        <v>20</v>
      </c>
      <c r="G128" s="4">
        <v>18</v>
      </c>
      <c r="H128" s="6">
        <v>15000</v>
      </c>
      <c r="I128" s="7">
        <v>0.05</v>
      </c>
    </row>
    <row r="129" spans="1:9">
      <c r="A129" s="8">
        <v>1128</v>
      </c>
      <c r="B129" s="9">
        <v>45887</v>
      </c>
      <c r="C129" s="8" t="s">
        <v>35</v>
      </c>
      <c r="D129" s="8" t="s">
        <v>36</v>
      </c>
      <c r="E129" s="8" t="s">
        <v>11</v>
      </c>
      <c r="F129" s="8" t="s">
        <v>12</v>
      </c>
      <c r="G129" s="8">
        <v>1</v>
      </c>
      <c r="H129" s="10">
        <v>3500</v>
      </c>
      <c r="I129" s="11">
        <v>0</v>
      </c>
    </row>
    <row r="130" spans="1:9">
      <c r="A130" s="4">
        <v>1129</v>
      </c>
      <c r="B130" s="5">
        <v>45865</v>
      </c>
      <c r="C130" s="4" t="s">
        <v>39</v>
      </c>
      <c r="D130" s="4" t="s">
        <v>30</v>
      </c>
      <c r="E130" s="4" t="s">
        <v>11</v>
      </c>
      <c r="F130" s="4" t="s">
        <v>20</v>
      </c>
      <c r="G130" s="4">
        <v>8</v>
      </c>
      <c r="H130" s="4">
        <v>180</v>
      </c>
      <c r="I130" s="7">
        <v>0.08</v>
      </c>
    </row>
    <row r="131" spans="1:9">
      <c r="A131" s="8">
        <v>1130</v>
      </c>
      <c r="B131" s="9">
        <v>45941</v>
      </c>
      <c r="C131" s="8" t="s">
        <v>25</v>
      </c>
      <c r="D131" s="8" t="s">
        <v>26</v>
      </c>
      <c r="E131" s="8" t="s">
        <v>11</v>
      </c>
      <c r="F131" s="8" t="s">
        <v>23</v>
      </c>
      <c r="G131" s="8">
        <v>12</v>
      </c>
      <c r="H131" s="10">
        <v>11000</v>
      </c>
      <c r="I131" s="11">
        <v>0.1</v>
      </c>
    </row>
    <row r="132" spans="1:9">
      <c r="A132" s="4">
        <v>1131</v>
      </c>
      <c r="B132" s="5">
        <v>46017</v>
      </c>
      <c r="C132" s="4" t="s">
        <v>34</v>
      </c>
      <c r="D132" s="4" t="s">
        <v>26</v>
      </c>
      <c r="E132" s="4" t="s">
        <v>11</v>
      </c>
      <c r="F132" s="4" t="s">
        <v>12</v>
      </c>
      <c r="G132" s="4">
        <v>9</v>
      </c>
      <c r="H132" s="6">
        <v>15000</v>
      </c>
      <c r="I132" s="7">
        <v>0.08</v>
      </c>
    </row>
    <row r="133" spans="1:9">
      <c r="A133" s="8">
        <v>1132</v>
      </c>
      <c r="B133" s="9">
        <v>45719</v>
      </c>
      <c r="C133" s="8" t="s">
        <v>39</v>
      </c>
      <c r="D133" s="8" t="s">
        <v>30</v>
      </c>
      <c r="E133" s="8" t="s">
        <v>14</v>
      </c>
      <c r="F133" s="8" t="s">
        <v>32</v>
      </c>
      <c r="G133" s="8">
        <v>7</v>
      </c>
      <c r="H133" s="8">
        <v>180</v>
      </c>
      <c r="I133" s="11">
        <v>0.08</v>
      </c>
    </row>
    <row r="134" spans="1:9">
      <c r="A134" s="4">
        <v>1133</v>
      </c>
      <c r="B134" s="5">
        <v>45756</v>
      </c>
      <c r="C134" s="4" t="s">
        <v>19</v>
      </c>
      <c r="D134" s="4" t="s">
        <v>10</v>
      </c>
      <c r="E134" s="4" t="s">
        <v>11</v>
      </c>
      <c r="F134" s="4" t="s">
        <v>24</v>
      </c>
      <c r="G134" s="4">
        <v>16</v>
      </c>
      <c r="H134" s="4">
        <v>800</v>
      </c>
      <c r="I134" s="7">
        <v>0.08</v>
      </c>
    </row>
    <row r="135" spans="1:9">
      <c r="A135" s="8">
        <v>1134</v>
      </c>
      <c r="B135" s="9">
        <v>45757</v>
      </c>
      <c r="C135" s="8" t="s">
        <v>21</v>
      </c>
      <c r="D135" s="8" t="s">
        <v>10</v>
      </c>
      <c r="E135" s="8" t="s">
        <v>17</v>
      </c>
      <c r="F135" s="8" t="s">
        <v>27</v>
      </c>
      <c r="G135" s="8">
        <v>8</v>
      </c>
      <c r="H135" s="10">
        <v>14000</v>
      </c>
      <c r="I135" s="11">
        <v>0.08</v>
      </c>
    </row>
    <row r="136" spans="1:9">
      <c r="A136" s="4">
        <v>1135</v>
      </c>
      <c r="B136" s="5">
        <v>45665</v>
      </c>
      <c r="C136" s="4" t="s">
        <v>39</v>
      </c>
      <c r="D136" s="4" t="s">
        <v>30</v>
      </c>
      <c r="E136" s="4" t="s">
        <v>11</v>
      </c>
      <c r="F136" s="4" t="s">
        <v>18</v>
      </c>
      <c r="G136" s="4">
        <v>18</v>
      </c>
      <c r="H136" s="4">
        <v>180</v>
      </c>
      <c r="I136" s="7">
        <v>0.05</v>
      </c>
    </row>
    <row r="137" spans="1:9">
      <c r="A137" s="8">
        <v>1136</v>
      </c>
      <c r="B137" s="9">
        <v>45685</v>
      </c>
      <c r="C137" s="8" t="s">
        <v>25</v>
      </c>
      <c r="D137" s="8" t="s">
        <v>26</v>
      </c>
      <c r="E137" s="8" t="s">
        <v>17</v>
      </c>
      <c r="F137" s="8" t="s">
        <v>20</v>
      </c>
      <c r="G137" s="8">
        <v>10</v>
      </c>
      <c r="H137" s="10">
        <v>11000</v>
      </c>
      <c r="I137" s="11">
        <v>0.15</v>
      </c>
    </row>
    <row r="138" spans="1:9">
      <c r="A138" s="4">
        <v>1137</v>
      </c>
      <c r="B138" s="5">
        <v>45710</v>
      </c>
      <c r="C138" s="4" t="s">
        <v>38</v>
      </c>
      <c r="D138" s="4" t="s">
        <v>10</v>
      </c>
      <c r="E138" s="4" t="s">
        <v>11</v>
      </c>
      <c r="F138" s="4" t="s">
        <v>20</v>
      </c>
      <c r="G138" s="4">
        <v>1</v>
      </c>
      <c r="H138" s="6">
        <v>42000</v>
      </c>
      <c r="I138" s="7">
        <v>0.12</v>
      </c>
    </row>
    <row r="139" spans="1:9">
      <c r="A139" s="8">
        <v>1138</v>
      </c>
      <c r="B139" s="9">
        <v>45903</v>
      </c>
      <c r="C139" s="8" t="s">
        <v>34</v>
      </c>
      <c r="D139" s="8" t="s">
        <v>26</v>
      </c>
      <c r="E139" s="8" t="s">
        <v>14</v>
      </c>
      <c r="F139" s="8" t="s">
        <v>27</v>
      </c>
      <c r="G139" s="8">
        <v>11</v>
      </c>
      <c r="H139" s="10">
        <v>15000</v>
      </c>
      <c r="I139" s="11">
        <v>0.05</v>
      </c>
    </row>
    <row r="140" spans="1:9">
      <c r="A140" s="4">
        <v>1139</v>
      </c>
      <c r="B140" s="5">
        <v>45902</v>
      </c>
      <c r="C140" s="4" t="s">
        <v>9</v>
      </c>
      <c r="D140" s="4" t="s">
        <v>10</v>
      </c>
      <c r="E140" s="4" t="s">
        <v>22</v>
      </c>
      <c r="F140" s="4" t="s">
        <v>24</v>
      </c>
      <c r="G140" s="4">
        <v>3</v>
      </c>
      <c r="H140" s="6">
        <v>18000</v>
      </c>
      <c r="I140" s="7">
        <v>0.1</v>
      </c>
    </row>
    <row r="141" spans="1:9">
      <c r="A141" s="8">
        <v>1140</v>
      </c>
      <c r="B141" s="9">
        <v>45953</v>
      </c>
      <c r="C141" s="8" t="s">
        <v>29</v>
      </c>
      <c r="D141" s="8" t="s">
        <v>30</v>
      </c>
      <c r="E141" s="8" t="s">
        <v>17</v>
      </c>
      <c r="F141" s="8" t="s">
        <v>27</v>
      </c>
      <c r="G141" s="8">
        <v>2</v>
      </c>
      <c r="H141" s="8">
        <v>250</v>
      </c>
      <c r="I141" s="11">
        <v>0.05</v>
      </c>
    </row>
    <row r="142" spans="1:9">
      <c r="A142" s="4">
        <v>1141</v>
      </c>
      <c r="B142" s="5">
        <v>45701</v>
      </c>
      <c r="C142" s="4" t="s">
        <v>19</v>
      </c>
      <c r="D142" s="4" t="s">
        <v>10</v>
      </c>
      <c r="E142" s="4" t="s">
        <v>22</v>
      </c>
      <c r="F142" s="4" t="s">
        <v>12</v>
      </c>
      <c r="G142" s="4">
        <v>4</v>
      </c>
      <c r="H142" s="4">
        <v>800</v>
      </c>
      <c r="I142" s="7">
        <v>0.12</v>
      </c>
    </row>
    <row r="143" spans="1:9">
      <c r="A143" s="8">
        <v>1142</v>
      </c>
      <c r="B143" s="9">
        <v>45925</v>
      </c>
      <c r="C143" s="8" t="s">
        <v>31</v>
      </c>
      <c r="D143" s="8" t="s">
        <v>26</v>
      </c>
      <c r="E143" s="8" t="s">
        <v>11</v>
      </c>
      <c r="F143" s="8" t="s">
        <v>15</v>
      </c>
      <c r="G143" s="8">
        <v>15</v>
      </c>
      <c r="H143" s="10">
        <v>8500</v>
      </c>
      <c r="I143" s="11">
        <v>0.1</v>
      </c>
    </row>
    <row r="144" spans="1:9">
      <c r="A144" s="4">
        <v>1143</v>
      </c>
      <c r="B144" s="5">
        <v>45814</v>
      </c>
      <c r="C144" s="4" t="s">
        <v>28</v>
      </c>
      <c r="D144" s="4" t="s">
        <v>26</v>
      </c>
      <c r="E144" s="4" t="s">
        <v>14</v>
      </c>
      <c r="F144" s="4" t="s">
        <v>12</v>
      </c>
      <c r="G144" s="4">
        <v>20</v>
      </c>
      <c r="H144" s="6">
        <v>9000</v>
      </c>
      <c r="I144" s="7">
        <v>0</v>
      </c>
    </row>
    <row r="145" spans="1:9">
      <c r="A145" s="8">
        <v>1144</v>
      </c>
      <c r="B145" s="9">
        <v>45978</v>
      </c>
      <c r="C145" s="8" t="s">
        <v>19</v>
      </c>
      <c r="D145" s="8" t="s">
        <v>10</v>
      </c>
      <c r="E145" s="8" t="s">
        <v>14</v>
      </c>
      <c r="F145" s="8" t="s">
        <v>32</v>
      </c>
      <c r="G145" s="8">
        <v>9</v>
      </c>
      <c r="H145" s="8">
        <v>800</v>
      </c>
      <c r="I145" s="11">
        <v>0.15</v>
      </c>
    </row>
    <row r="146" spans="1:9">
      <c r="A146" s="4">
        <v>1145</v>
      </c>
      <c r="B146" s="5">
        <v>45780</v>
      </c>
      <c r="C146" s="4" t="s">
        <v>13</v>
      </c>
      <c r="D146" s="4" t="s">
        <v>10</v>
      </c>
      <c r="E146" s="4" t="s">
        <v>17</v>
      </c>
      <c r="F146" s="4" t="s">
        <v>18</v>
      </c>
      <c r="G146" s="4">
        <v>18</v>
      </c>
      <c r="H146" s="6">
        <v>1200</v>
      </c>
      <c r="I146" s="7">
        <v>0</v>
      </c>
    </row>
    <row r="147" spans="1:9">
      <c r="A147" s="8">
        <v>1146</v>
      </c>
      <c r="B147" s="9">
        <v>45867</v>
      </c>
      <c r="C147" s="8" t="s">
        <v>34</v>
      </c>
      <c r="D147" s="8" t="s">
        <v>26</v>
      </c>
      <c r="E147" s="8" t="s">
        <v>11</v>
      </c>
      <c r="F147" s="8" t="s">
        <v>18</v>
      </c>
      <c r="G147" s="8">
        <v>20</v>
      </c>
      <c r="H147" s="10">
        <v>15000</v>
      </c>
      <c r="I147" s="11">
        <v>0.1</v>
      </c>
    </row>
    <row r="148" spans="1:9">
      <c r="A148" s="4">
        <v>1147</v>
      </c>
      <c r="B148" s="5">
        <v>45776</v>
      </c>
      <c r="C148" s="4" t="s">
        <v>21</v>
      </c>
      <c r="D148" s="4" t="s">
        <v>10</v>
      </c>
      <c r="E148" s="4" t="s">
        <v>22</v>
      </c>
      <c r="F148" s="4" t="s">
        <v>24</v>
      </c>
      <c r="G148" s="4">
        <v>10</v>
      </c>
      <c r="H148" s="6">
        <v>14000</v>
      </c>
      <c r="I148" s="7">
        <v>0.15</v>
      </c>
    </row>
    <row r="149" spans="1:9">
      <c r="A149" s="8">
        <v>1148</v>
      </c>
      <c r="B149" s="9">
        <v>46009</v>
      </c>
      <c r="C149" s="8" t="s">
        <v>19</v>
      </c>
      <c r="D149" s="8" t="s">
        <v>10</v>
      </c>
      <c r="E149" s="8" t="s">
        <v>17</v>
      </c>
      <c r="F149" s="8" t="s">
        <v>15</v>
      </c>
      <c r="G149" s="8">
        <v>9</v>
      </c>
      <c r="H149" s="8">
        <v>800</v>
      </c>
      <c r="I149" s="11">
        <v>0.15</v>
      </c>
    </row>
    <row r="150" spans="1:9">
      <c r="A150" s="4">
        <v>1149</v>
      </c>
      <c r="B150" s="5">
        <v>45716</v>
      </c>
      <c r="C150" s="4" t="s">
        <v>25</v>
      </c>
      <c r="D150" s="4" t="s">
        <v>26</v>
      </c>
      <c r="E150" s="4" t="s">
        <v>17</v>
      </c>
      <c r="F150" s="4" t="s">
        <v>27</v>
      </c>
      <c r="G150" s="4">
        <v>8</v>
      </c>
      <c r="H150" s="6">
        <v>11000</v>
      </c>
      <c r="I150" s="7">
        <v>0.15</v>
      </c>
    </row>
    <row r="151" spans="1:9">
      <c r="A151" s="8">
        <v>1150</v>
      </c>
      <c r="B151" s="9">
        <v>45730</v>
      </c>
      <c r="C151" s="8" t="s">
        <v>40</v>
      </c>
      <c r="D151" s="8" t="s">
        <v>10</v>
      </c>
      <c r="E151" s="8" t="s">
        <v>11</v>
      </c>
      <c r="F151" s="8" t="s">
        <v>27</v>
      </c>
      <c r="G151" s="8">
        <v>2</v>
      </c>
      <c r="H151" s="10">
        <v>18000</v>
      </c>
      <c r="I151" s="11">
        <v>0.05</v>
      </c>
    </row>
    <row r="152" spans="1:9">
      <c r="A152" s="4">
        <v>1151</v>
      </c>
      <c r="B152" s="5">
        <v>45882</v>
      </c>
      <c r="C152" s="4" t="s">
        <v>9</v>
      </c>
      <c r="D152" s="4" t="s">
        <v>10</v>
      </c>
      <c r="E152" s="4" t="s">
        <v>11</v>
      </c>
      <c r="F152" s="4" t="s">
        <v>15</v>
      </c>
      <c r="G152" s="4">
        <v>15</v>
      </c>
      <c r="H152" s="6">
        <v>18000</v>
      </c>
      <c r="I152" s="7">
        <v>0.15</v>
      </c>
    </row>
    <row r="153" spans="1:9">
      <c r="A153" s="8">
        <v>1152</v>
      </c>
      <c r="B153" s="9">
        <v>45797</v>
      </c>
      <c r="C153" s="8" t="s">
        <v>25</v>
      </c>
      <c r="D153" s="8" t="s">
        <v>26</v>
      </c>
      <c r="E153" s="8" t="s">
        <v>22</v>
      </c>
      <c r="F153" s="8" t="s">
        <v>24</v>
      </c>
      <c r="G153" s="8">
        <v>18</v>
      </c>
      <c r="H153" s="10">
        <v>11000</v>
      </c>
      <c r="I153" s="11">
        <v>0.1</v>
      </c>
    </row>
    <row r="154" spans="1:9">
      <c r="A154" s="4">
        <v>1153</v>
      </c>
      <c r="B154" s="5">
        <v>45964</v>
      </c>
      <c r="C154" s="4" t="s">
        <v>16</v>
      </c>
      <c r="D154" s="4" t="s">
        <v>10</v>
      </c>
      <c r="E154" s="4" t="s">
        <v>11</v>
      </c>
      <c r="F154" s="4" t="s">
        <v>27</v>
      </c>
      <c r="G154" s="4">
        <v>14</v>
      </c>
      <c r="H154" s="6">
        <v>55000</v>
      </c>
      <c r="I154" s="7">
        <v>0.15</v>
      </c>
    </row>
    <row r="155" spans="1:9">
      <c r="A155" s="8">
        <v>1154</v>
      </c>
      <c r="B155" s="9">
        <v>45671</v>
      </c>
      <c r="C155" s="8" t="s">
        <v>9</v>
      </c>
      <c r="D155" s="8" t="s">
        <v>10</v>
      </c>
      <c r="E155" s="8" t="s">
        <v>14</v>
      </c>
      <c r="F155" s="8" t="s">
        <v>27</v>
      </c>
      <c r="G155" s="8">
        <v>8</v>
      </c>
      <c r="H155" s="10">
        <v>18000</v>
      </c>
      <c r="I155" s="11">
        <v>0.15</v>
      </c>
    </row>
    <row r="156" spans="1:9">
      <c r="A156" s="4">
        <v>1155</v>
      </c>
      <c r="B156" s="5">
        <v>45953</v>
      </c>
      <c r="C156" s="4" t="s">
        <v>16</v>
      </c>
      <c r="D156" s="4" t="s">
        <v>10</v>
      </c>
      <c r="E156" s="4" t="s">
        <v>22</v>
      </c>
      <c r="F156" s="4" t="s">
        <v>27</v>
      </c>
      <c r="G156" s="4">
        <v>6</v>
      </c>
      <c r="H156" s="6">
        <v>55000</v>
      </c>
      <c r="I156" s="7">
        <v>0.1</v>
      </c>
    </row>
    <row r="157" spans="1:9">
      <c r="A157" s="8">
        <v>1156</v>
      </c>
      <c r="B157" s="9">
        <v>45750</v>
      </c>
      <c r="C157" s="8" t="s">
        <v>28</v>
      </c>
      <c r="D157" s="8" t="s">
        <v>26</v>
      </c>
      <c r="E157" s="8" t="s">
        <v>22</v>
      </c>
      <c r="F157" s="8" t="s">
        <v>24</v>
      </c>
      <c r="G157" s="8">
        <v>14</v>
      </c>
      <c r="H157" s="10">
        <v>9000</v>
      </c>
      <c r="I157" s="11">
        <v>0.15</v>
      </c>
    </row>
    <row r="158" spans="1:9">
      <c r="A158" s="4">
        <v>1157</v>
      </c>
      <c r="B158" s="5">
        <v>45898</v>
      </c>
      <c r="C158" s="4" t="s">
        <v>33</v>
      </c>
      <c r="D158" s="4" t="s">
        <v>10</v>
      </c>
      <c r="E158" s="4" t="s">
        <v>11</v>
      </c>
      <c r="F158" s="4" t="s">
        <v>24</v>
      </c>
      <c r="G158" s="4">
        <v>14</v>
      </c>
      <c r="H158" s="6">
        <v>2500</v>
      </c>
      <c r="I158" s="7">
        <v>0.08</v>
      </c>
    </row>
    <row r="159" spans="1:9">
      <c r="A159" s="8">
        <v>1158</v>
      </c>
      <c r="B159" s="9">
        <v>45740</v>
      </c>
      <c r="C159" s="8" t="s">
        <v>33</v>
      </c>
      <c r="D159" s="8" t="s">
        <v>10</v>
      </c>
      <c r="E159" s="8" t="s">
        <v>22</v>
      </c>
      <c r="F159" s="8" t="s">
        <v>27</v>
      </c>
      <c r="G159" s="8">
        <v>14</v>
      </c>
      <c r="H159" s="10">
        <v>2500</v>
      </c>
      <c r="I159" s="11">
        <v>0.15</v>
      </c>
    </row>
    <row r="160" spans="1:9">
      <c r="A160" s="4">
        <v>1159</v>
      </c>
      <c r="B160" s="5">
        <v>45997</v>
      </c>
      <c r="C160" s="4" t="s">
        <v>31</v>
      </c>
      <c r="D160" s="4" t="s">
        <v>26</v>
      </c>
      <c r="E160" s="4" t="s">
        <v>22</v>
      </c>
      <c r="F160" s="4" t="s">
        <v>24</v>
      </c>
      <c r="G160" s="4">
        <v>18</v>
      </c>
      <c r="H160" s="6">
        <v>8500</v>
      </c>
      <c r="I160" s="7">
        <v>0</v>
      </c>
    </row>
    <row r="161" spans="1:9">
      <c r="A161" s="8">
        <v>1160</v>
      </c>
      <c r="B161" s="9">
        <v>45819</v>
      </c>
      <c r="C161" s="8" t="s">
        <v>21</v>
      </c>
      <c r="D161" s="8" t="s">
        <v>10</v>
      </c>
      <c r="E161" s="8" t="s">
        <v>22</v>
      </c>
      <c r="F161" s="8" t="s">
        <v>18</v>
      </c>
      <c r="G161" s="8">
        <v>11</v>
      </c>
      <c r="H161" s="10">
        <v>14000</v>
      </c>
      <c r="I161" s="11">
        <v>0</v>
      </c>
    </row>
    <row r="162" spans="1:9">
      <c r="A162" s="4">
        <v>1161</v>
      </c>
      <c r="B162" s="5">
        <v>45994</v>
      </c>
      <c r="C162" s="4" t="s">
        <v>38</v>
      </c>
      <c r="D162" s="4" t="s">
        <v>10</v>
      </c>
      <c r="E162" s="4" t="s">
        <v>22</v>
      </c>
      <c r="F162" s="4" t="s">
        <v>18</v>
      </c>
      <c r="G162" s="4">
        <v>18</v>
      </c>
      <c r="H162" s="6">
        <v>42000</v>
      </c>
      <c r="I162" s="7">
        <v>0.1</v>
      </c>
    </row>
    <row r="163" spans="1:9">
      <c r="A163" s="8">
        <v>1162</v>
      </c>
      <c r="B163" s="9">
        <v>45754</v>
      </c>
      <c r="C163" s="8" t="s">
        <v>25</v>
      </c>
      <c r="D163" s="8" t="s">
        <v>26</v>
      </c>
      <c r="E163" s="8" t="s">
        <v>22</v>
      </c>
      <c r="F163" s="8" t="s">
        <v>20</v>
      </c>
      <c r="G163" s="8">
        <v>12</v>
      </c>
      <c r="H163" s="10">
        <v>11000</v>
      </c>
      <c r="I163" s="11">
        <v>0.12</v>
      </c>
    </row>
    <row r="164" spans="1:9">
      <c r="A164" s="4">
        <v>1163</v>
      </c>
      <c r="B164" s="5">
        <v>45684</v>
      </c>
      <c r="C164" s="4" t="s">
        <v>19</v>
      </c>
      <c r="D164" s="4" t="s">
        <v>10</v>
      </c>
      <c r="E164" s="4" t="s">
        <v>17</v>
      </c>
      <c r="F164" s="4" t="s">
        <v>27</v>
      </c>
      <c r="G164" s="4">
        <v>9</v>
      </c>
      <c r="H164" s="4">
        <v>800</v>
      </c>
      <c r="I164" s="7">
        <v>0.12</v>
      </c>
    </row>
    <row r="165" spans="1:9">
      <c r="A165" s="8">
        <v>1164</v>
      </c>
      <c r="B165" s="9">
        <v>45882</v>
      </c>
      <c r="C165" s="8" t="s">
        <v>37</v>
      </c>
      <c r="D165" s="8" t="s">
        <v>36</v>
      </c>
      <c r="E165" s="8" t="s">
        <v>14</v>
      </c>
      <c r="F165" s="8" t="s">
        <v>12</v>
      </c>
      <c r="G165" s="8">
        <v>16</v>
      </c>
      <c r="H165" s="10">
        <v>1800</v>
      </c>
      <c r="I165" s="11">
        <v>0</v>
      </c>
    </row>
    <row r="166" spans="1:9">
      <c r="A166" s="4">
        <v>1165</v>
      </c>
      <c r="B166" s="5">
        <v>46021</v>
      </c>
      <c r="C166" s="4" t="s">
        <v>13</v>
      </c>
      <c r="D166" s="4" t="s">
        <v>10</v>
      </c>
      <c r="E166" s="4" t="s">
        <v>14</v>
      </c>
      <c r="F166" s="4" t="s">
        <v>15</v>
      </c>
      <c r="G166" s="4">
        <v>10</v>
      </c>
      <c r="H166" s="6">
        <v>1200</v>
      </c>
      <c r="I166" s="7">
        <v>0.12</v>
      </c>
    </row>
    <row r="167" spans="1:9">
      <c r="A167" s="8">
        <v>1166</v>
      </c>
      <c r="B167" s="9">
        <v>45705</v>
      </c>
      <c r="C167" s="8" t="s">
        <v>19</v>
      </c>
      <c r="D167" s="8" t="s">
        <v>10</v>
      </c>
      <c r="E167" s="8" t="s">
        <v>14</v>
      </c>
      <c r="F167" s="8" t="s">
        <v>32</v>
      </c>
      <c r="G167" s="8">
        <v>4</v>
      </c>
      <c r="H167" s="8">
        <v>800</v>
      </c>
      <c r="I167" s="11">
        <v>0.1</v>
      </c>
    </row>
    <row r="168" spans="1:9">
      <c r="A168" s="4">
        <v>1167</v>
      </c>
      <c r="B168" s="5">
        <v>45913</v>
      </c>
      <c r="C168" s="4" t="s">
        <v>37</v>
      </c>
      <c r="D168" s="4" t="s">
        <v>36</v>
      </c>
      <c r="E168" s="4" t="s">
        <v>11</v>
      </c>
      <c r="F168" s="4" t="s">
        <v>15</v>
      </c>
      <c r="G168" s="4">
        <v>10</v>
      </c>
      <c r="H168" s="6">
        <v>1800</v>
      </c>
      <c r="I168" s="7">
        <v>0.12</v>
      </c>
    </row>
    <row r="169" spans="1:9">
      <c r="A169" s="8">
        <v>1168</v>
      </c>
      <c r="B169" s="9">
        <v>45905</v>
      </c>
      <c r="C169" s="8" t="s">
        <v>34</v>
      </c>
      <c r="D169" s="8" t="s">
        <v>26</v>
      </c>
      <c r="E169" s="8" t="s">
        <v>17</v>
      </c>
      <c r="F169" s="8" t="s">
        <v>15</v>
      </c>
      <c r="G169" s="8">
        <v>8</v>
      </c>
      <c r="H169" s="10">
        <v>15000</v>
      </c>
      <c r="I169" s="11">
        <v>0.1</v>
      </c>
    </row>
    <row r="170" spans="1:9">
      <c r="A170" s="4">
        <v>1169</v>
      </c>
      <c r="B170" s="5">
        <v>45755</v>
      </c>
      <c r="C170" s="4" t="s">
        <v>37</v>
      </c>
      <c r="D170" s="4" t="s">
        <v>36</v>
      </c>
      <c r="E170" s="4" t="s">
        <v>17</v>
      </c>
      <c r="F170" s="4" t="s">
        <v>24</v>
      </c>
      <c r="G170" s="4">
        <v>20</v>
      </c>
      <c r="H170" s="6">
        <v>1800</v>
      </c>
      <c r="I170" s="7">
        <v>0.12</v>
      </c>
    </row>
    <row r="171" spans="1:9">
      <c r="A171" s="8">
        <v>1170</v>
      </c>
      <c r="B171" s="9">
        <v>45799</v>
      </c>
      <c r="C171" s="8" t="s">
        <v>35</v>
      </c>
      <c r="D171" s="8" t="s">
        <v>36</v>
      </c>
      <c r="E171" s="8" t="s">
        <v>11</v>
      </c>
      <c r="F171" s="8" t="s">
        <v>18</v>
      </c>
      <c r="G171" s="8">
        <v>14</v>
      </c>
      <c r="H171" s="10">
        <v>3500</v>
      </c>
      <c r="I171" s="11">
        <v>0.08</v>
      </c>
    </row>
    <row r="172" spans="1:9">
      <c r="A172" s="4">
        <v>1171</v>
      </c>
      <c r="B172" s="5">
        <v>45802</v>
      </c>
      <c r="C172" s="4" t="s">
        <v>39</v>
      </c>
      <c r="D172" s="4" t="s">
        <v>30</v>
      </c>
      <c r="E172" s="4" t="s">
        <v>22</v>
      </c>
      <c r="F172" s="4" t="s">
        <v>32</v>
      </c>
      <c r="G172" s="4">
        <v>10</v>
      </c>
      <c r="H172" s="4">
        <v>180</v>
      </c>
      <c r="I172" s="7">
        <v>0.12</v>
      </c>
    </row>
    <row r="173" spans="1:9">
      <c r="A173" s="8">
        <v>1172</v>
      </c>
      <c r="B173" s="9">
        <v>45886</v>
      </c>
      <c r="C173" s="8" t="s">
        <v>25</v>
      </c>
      <c r="D173" s="8" t="s">
        <v>26</v>
      </c>
      <c r="E173" s="8" t="s">
        <v>11</v>
      </c>
      <c r="F173" s="8" t="s">
        <v>15</v>
      </c>
      <c r="G173" s="8">
        <v>16</v>
      </c>
      <c r="H173" s="10">
        <v>11000</v>
      </c>
      <c r="I173" s="11">
        <v>0.08</v>
      </c>
    </row>
    <row r="174" spans="1:9">
      <c r="A174" s="4">
        <v>1173</v>
      </c>
      <c r="B174" s="5">
        <v>45891</v>
      </c>
      <c r="C174" s="4" t="s">
        <v>37</v>
      </c>
      <c r="D174" s="4" t="s">
        <v>36</v>
      </c>
      <c r="E174" s="4" t="s">
        <v>17</v>
      </c>
      <c r="F174" s="4" t="s">
        <v>15</v>
      </c>
      <c r="G174" s="4">
        <v>11</v>
      </c>
      <c r="H174" s="6">
        <v>1800</v>
      </c>
      <c r="I174" s="7">
        <v>0.05</v>
      </c>
    </row>
    <row r="175" spans="1:9">
      <c r="A175" s="8">
        <v>1174</v>
      </c>
      <c r="B175" s="9">
        <v>45777</v>
      </c>
      <c r="C175" s="8" t="s">
        <v>38</v>
      </c>
      <c r="D175" s="8" t="s">
        <v>10</v>
      </c>
      <c r="E175" s="8" t="s">
        <v>11</v>
      </c>
      <c r="F175" s="8" t="s">
        <v>20</v>
      </c>
      <c r="G175" s="8">
        <v>14</v>
      </c>
      <c r="H175" s="10">
        <v>42000</v>
      </c>
      <c r="I175" s="11">
        <v>0</v>
      </c>
    </row>
    <row r="176" spans="1:9">
      <c r="A176" s="4">
        <v>1175</v>
      </c>
      <c r="B176" s="5">
        <v>46019</v>
      </c>
      <c r="C176" s="4" t="s">
        <v>37</v>
      </c>
      <c r="D176" s="4" t="s">
        <v>36</v>
      </c>
      <c r="E176" s="4" t="s">
        <v>17</v>
      </c>
      <c r="F176" s="4" t="s">
        <v>20</v>
      </c>
      <c r="G176" s="4">
        <v>13</v>
      </c>
      <c r="H176" s="6">
        <v>1800</v>
      </c>
      <c r="I176" s="7">
        <v>0.1</v>
      </c>
    </row>
    <row r="177" spans="1:9">
      <c r="A177" s="8">
        <v>1176</v>
      </c>
      <c r="B177" s="9">
        <v>45676</v>
      </c>
      <c r="C177" s="8" t="s">
        <v>13</v>
      </c>
      <c r="D177" s="8" t="s">
        <v>10</v>
      </c>
      <c r="E177" s="8" t="s">
        <v>11</v>
      </c>
      <c r="F177" s="8" t="s">
        <v>24</v>
      </c>
      <c r="G177" s="8">
        <v>17</v>
      </c>
      <c r="H177" s="10">
        <v>1200</v>
      </c>
      <c r="I177" s="11">
        <v>0.12</v>
      </c>
    </row>
    <row r="178" spans="1:9">
      <c r="A178" s="4">
        <v>1177</v>
      </c>
      <c r="B178" s="5">
        <v>45883</v>
      </c>
      <c r="C178" s="4" t="s">
        <v>9</v>
      </c>
      <c r="D178" s="4" t="s">
        <v>10</v>
      </c>
      <c r="E178" s="4" t="s">
        <v>14</v>
      </c>
      <c r="F178" s="4" t="s">
        <v>32</v>
      </c>
      <c r="G178" s="4">
        <v>17</v>
      </c>
      <c r="H178" s="6">
        <v>18000</v>
      </c>
      <c r="I178" s="7">
        <v>0.1</v>
      </c>
    </row>
    <row r="179" spans="1:9">
      <c r="A179" s="8">
        <v>1178</v>
      </c>
      <c r="B179" s="9">
        <v>45867</v>
      </c>
      <c r="C179" s="8" t="s">
        <v>38</v>
      </c>
      <c r="D179" s="8" t="s">
        <v>10</v>
      </c>
      <c r="E179" s="8" t="s">
        <v>22</v>
      </c>
      <c r="F179" s="8" t="s">
        <v>27</v>
      </c>
      <c r="G179" s="8">
        <v>5</v>
      </c>
      <c r="H179" s="10">
        <v>42000</v>
      </c>
      <c r="I179" s="11">
        <v>0</v>
      </c>
    </row>
    <row r="180" spans="1:9">
      <c r="A180" s="4">
        <v>1179</v>
      </c>
      <c r="B180" s="5">
        <v>45831</v>
      </c>
      <c r="C180" s="4" t="s">
        <v>28</v>
      </c>
      <c r="D180" s="4" t="s">
        <v>26</v>
      </c>
      <c r="E180" s="4" t="s">
        <v>14</v>
      </c>
      <c r="F180" s="4" t="s">
        <v>23</v>
      </c>
      <c r="G180" s="4">
        <v>13</v>
      </c>
      <c r="H180" s="6">
        <v>9000</v>
      </c>
      <c r="I180" s="7">
        <v>0.15</v>
      </c>
    </row>
    <row r="181" spans="1:9">
      <c r="A181" s="8">
        <v>1180</v>
      </c>
      <c r="B181" s="9">
        <v>46003</v>
      </c>
      <c r="C181" s="8" t="s">
        <v>38</v>
      </c>
      <c r="D181" s="8" t="s">
        <v>10</v>
      </c>
      <c r="E181" s="8" t="s">
        <v>11</v>
      </c>
      <c r="F181" s="8" t="s">
        <v>20</v>
      </c>
      <c r="G181" s="8">
        <v>18</v>
      </c>
      <c r="H181" s="10">
        <v>42000</v>
      </c>
      <c r="I181" s="11">
        <v>0.1</v>
      </c>
    </row>
    <row r="182" spans="1:9">
      <c r="A182" s="4">
        <v>1181</v>
      </c>
      <c r="B182" s="5">
        <v>45935</v>
      </c>
      <c r="C182" s="4" t="s">
        <v>16</v>
      </c>
      <c r="D182" s="4" t="s">
        <v>10</v>
      </c>
      <c r="E182" s="4" t="s">
        <v>17</v>
      </c>
      <c r="F182" s="4" t="s">
        <v>27</v>
      </c>
      <c r="G182" s="4">
        <v>20</v>
      </c>
      <c r="H182" s="6">
        <v>55000</v>
      </c>
      <c r="I182" s="7">
        <v>0</v>
      </c>
    </row>
    <row r="183" spans="1:9">
      <c r="A183" s="8">
        <v>1182</v>
      </c>
      <c r="B183" s="9">
        <v>45774</v>
      </c>
      <c r="C183" s="8" t="s">
        <v>39</v>
      </c>
      <c r="D183" s="8" t="s">
        <v>30</v>
      </c>
      <c r="E183" s="8" t="s">
        <v>14</v>
      </c>
      <c r="F183" s="8" t="s">
        <v>24</v>
      </c>
      <c r="G183" s="8">
        <v>3</v>
      </c>
      <c r="H183" s="8">
        <v>180</v>
      </c>
      <c r="I183" s="11">
        <v>0.1</v>
      </c>
    </row>
    <row r="184" spans="1:9">
      <c r="A184" s="4">
        <v>1183</v>
      </c>
      <c r="B184" s="5">
        <v>45885</v>
      </c>
      <c r="C184" s="4" t="s">
        <v>13</v>
      </c>
      <c r="D184" s="4" t="s">
        <v>10</v>
      </c>
      <c r="E184" s="4" t="s">
        <v>14</v>
      </c>
      <c r="F184" s="4" t="s">
        <v>23</v>
      </c>
      <c r="G184" s="4">
        <v>10</v>
      </c>
      <c r="H184" s="6">
        <v>1200</v>
      </c>
      <c r="I184" s="7">
        <v>0</v>
      </c>
    </row>
    <row r="185" spans="1:9">
      <c r="A185" s="8">
        <v>1184</v>
      </c>
      <c r="B185" s="9">
        <v>45686</v>
      </c>
      <c r="C185" s="8" t="s">
        <v>21</v>
      </c>
      <c r="D185" s="8" t="s">
        <v>10</v>
      </c>
      <c r="E185" s="8" t="s">
        <v>22</v>
      </c>
      <c r="F185" s="8" t="s">
        <v>32</v>
      </c>
      <c r="G185" s="8">
        <v>12</v>
      </c>
      <c r="H185" s="10">
        <v>14000</v>
      </c>
      <c r="I185" s="11">
        <v>0.08</v>
      </c>
    </row>
    <row r="186" spans="1:9">
      <c r="A186" s="4">
        <v>1185</v>
      </c>
      <c r="B186" s="5">
        <v>45783</v>
      </c>
      <c r="C186" s="4" t="s">
        <v>25</v>
      </c>
      <c r="D186" s="4" t="s">
        <v>26</v>
      </c>
      <c r="E186" s="4" t="s">
        <v>17</v>
      </c>
      <c r="F186" s="4" t="s">
        <v>32</v>
      </c>
      <c r="G186" s="4">
        <v>14</v>
      </c>
      <c r="H186" s="6">
        <v>11000</v>
      </c>
      <c r="I186" s="7">
        <v>0.12</v>
      </c>
    </row>
    <row r="187" spans="1:9">
      <c r="A187" s="8">
        <v>1186</v>
      </c>
      <c r="B187" s="9">
        <v>45747</v>
      </c>
      <c r="C187" s="8" t="s">
        <v>9</v>
      </c>
      <c r="D187" s="8" t="s">
        <v>10</v>
      </c>
      <c r="E187" s="8" t="s">
        <v>17</v>
      </c>
      <c r="F187" s="8" t="s">
        <v>20</v>
      </c>
      <c r="G187" s="8">
        <v>20</v>
      </c>
      <c r="H187" s="10">
        <v>18000</v>
      </c>
      <c r="I187" s="11">
        <v>0.1</v>
      </c>
    </row>
    <row r="188" spans="1:9">
      <c r="A188" s="4">
        <v>1187</v>
      </c>
      <c r="B188" s="5">
        <v>45956</v>
      </c>
      <c r="C188" s="4" t="s">
        <v>13</v>
      </c>
      <c r="D188" s="4" t="s">
        <v>10</v>
      </c>
      <c r="E188" s="4" t="s">
        <v>11</v>
      </c>
      <c r="F188" s="4" t="s">
        <v>20</v>
      </c>
      <c r="G188" s="4">
        <v>8</v>
      </c>
      <c r="H188" s="6">
        <v>1200</v>
      </c>
      <c r="I188" s="7">
        <v>0.1</v>
      </c>
    </row>
    <row r="189" spans="1:9">
      <c r="A189" s="8">
        <v>1188</v>
      </c>
      <c r="B189" s="9">
        <v>45788</v>
      </c>
      <c r="C189" s="8" t="s">
        <v>29</v>
      </c>
      <c r="D189" s="8" t="s">
        <v>30</v>
      </c>
      <c r="E189" s="8" t="s">
        <v>11</v>
      </c>
      <c r="F189" s="8" t="s">
        <v>32</v>
      </c>
      <c r="G189" s="8">
        <v>1</v>
      </c>
      <c r="H189" s="8">
        <v>250</v>
      </c>
      <c r="I189" s="11">
        <v>0.1</v>
      </c>
    </row>
    <row r="190" spans="1:9">
      <c r="A190" s="4">
        <v>1189</v>
      </c>
      <c r="B190" s="5">
        <v>45695</v>
      </c>
      <c r="C190" s="4" t="s">
        <v>34</v>
      </c>
      <c r="D190" s="4" t="s">
        <v>26</v>
      </c>
      <c r="E190" s="4" t="s">
        <v>11</v>
      </c>
      <c r="F190" s="4" t="s">
        <v>15</v>
      </c>
      <c r="G190" s="4">
        <v>12</v>
      </c>
      <c r="H190" s="6">
        <v>15000</v>
      </c>
      <c r="I190" s="7">
        <v>0.12</v>
      </c>
    </row>
    <row r="191" spans="1:9">
      <c r="A191" s="8">
        <v>1190</v>
      </c>
      <c r="B191" s="9">
        <v>46011</v>
      </c>
      <c r="C191" s="8" t="s">
        <v>21</v>
      </c>
      <c r="D191" s="8" t="s">
        <v>10</v>
      </c>
      <c r="E191" s="8" t="s">
        <v>17</v>
      </c>
      <c r="F191" s="8" t="s">
        <v>15</v>
      </c>
      <c r="G191" s="8">
        <v>15</v>
      </c>
      <c r="H191" s="10">
        <v>14000</v>
      </c>
      <c r="I191" s="11">
        <v>0.08</v>
      </c>
    </row>
    <row r="192" spans="1:9">
      <c r="A192" s="4">
        <v>1191</v>
      </c>
      <c r="B192" s="5">
        <v>45905</v>
      </c>
      <c r="C192" s="4" t="s">
        <v>9</v>
      </c>
      <c r="D192" s="4" t="s">
        <v>10</v>
      </c>
      <c r="E192" s="4" t="s">
        <v>11</v>
      </c>
      <c r="F192" s="4" t="s">
        <v>27</v>
      </c>
      <c r="G192" s="4">
        <v>8</v>
      </c>
      <c r="H192" s="6">
        <v>18000</v>
      </c>
      <c r="I192" s="7">
        <v>0.1</v>
      </c>
    </row>
    <row r="193" spans="1:9">
      <c r="A193" s="8">
        <v>1192</v>
      </c>
      <c r="B193" s="9">
        <v>46016</v>
      </c>
      <c r="C193" s="8" t="s">
        <v>21</v>
      </c>
      <c r="D193" s="8" t="s">
        <v>10</v>
      </c>
      <c r="E193" s="8" t="s">
        <v>22</v>
      </c>
      <c r="F193" s="8" t="s">
        <v>27</v>
      </c>
      <c r="G193" s="8">
        <v>1</v>
      </c>
      <c r="H193" s="10">
        <v>14000</v>
      </c>
      <c r="I193" s="11">
        <v>0.15</v>
      </c>
    </row>
    <row r="194" spans="1:9">
      <c r="A194" s="4">
        <v>1193</v>
      </c>
      <c r="B194" s="5">
        <v>45662</v>
      </c>
      <c r="C194" s="4" t="s">
        <v>28</v>
      </c>
      <c r="D194" s="4" t="s">
        <v>26</v>
      </c>
      <c r="E194" s="4" t="s">
        <v>22</v>
      </c>
      <c r="F194" s="4" t="s">
        <v>27</v>
      </c>
      <c r="G194" s="4">
        <v>2</v>
      </c>
      <c r="H194" s="6">
        <v>9000</v>
      </c>
      <c r="I194" s="7">
        <v>0.12</v>
      </c>
    </row>
    <row r="195" spans="1:9">
      <c r="A195" s="8">
        <v>1194</v>
      </c>
      <c r="B195" s="9">
        <v>45775</v>
      </c>
      <c r="C195" s="8" t="s">
        <v>28</v>
      </c>
      <c r="D195" s="8" t="s">
        <v>26</v>
      </c>
      <c r="E195" s="8" t="s">
        <v>17</v>
      </c>
      <c r="F195" s="8" t="s">
        <v>27</v>
      </c>
      <c r="G195" s="8">
        <v>12</v>
      </c>
      <c r="H195" s="10">
        <v>9000</v>
      </c>
      <c r="I195" s="11">
        <v>0.05</v>
      </c>
    </row>
    <row r="196" spans="1:9">
      <c r="A196" s="4">
        <v>1195</v>
      </c>
      <c r="B196" s="5">
        <v>46005</v>
      </c>
      <c r="C196" s="4" t="s">
        <v>35</v>
      </c>
      <c r="D196" s="4" t="s">
        <v>36</v>
      </c>
      <c r="E196" s="4" t="s">
        <v>14</v>
      </c>
      <c r="F196" s="4" t="s">
        <v>18</v>
      </c>
      <c r="G196" s="4">
        <v>5</v>
      </c>
      <c r="H196" s="6">
        <v>3500</v>
      </c>
      <c r="I196" s="7">
        <v>0.15</v>
      </c>
    </row>
    <row r="197" spans="1:9">
      <c r="A197" s="8">
        <v>1196</v>
      </c>
      <c r="B197" s="9">
        <v>45816</v>
      </c>
      <c r="C197" s="8" t="s">
        <v>35</v>
      </c>
      <c r="D197" s="8" t="s">
        <v>36</v>
      </c>
      <c r="E197" s="8" t="s">
        <v>11</v>
      </c>
      <c r="F197" s="8" t="s">
        <v>32</v>
      </c>
      <c r="G197" s="8">
        <v>15</v>
      </c>
      <c r="H197" s="10">
        <v>3500</v>
      </c>
      <c r="I197" s="11">
        <v>0</v>
      </c>
    </row>
    <row r="198" spans="1:9">
      <c r="A198" s="4">
        <v>1197</v>
      </c>
      <c r="B198" s="5">
        <v>45704</v>
      </c>
      <c r="C198" s="4" t="s">
        <v>37</v>
      </c>
      <c r="D198" s="4" t="s">
        <v>36</v>
      </c>
      <c r="E198" s="4" t="s">
        <v>22</v>
      </c>
      <c r="F198" s="4" t="s">
        <v>32</v>
      </c>
      <c r="G198" s="4">
        <v>10</v>
      </c>
      <c r="H198" s="6">
        <v>1800</v>
      </c>
      <c r="I198" s="7">
        <v>0.08</v>
      </c>
    </row>
    <row r="199" spans="1:9">
      <c r="A199" s="8">
        <v>1198</v>
      </c>
      <c r="B199" s="9">
        <v>45760</v>
      </c>
      <c r="C199" s="8" t="s">
        <v>13</v>
      </c>
      <c r="D199" s="8" t="s">
        <v>10</v>
      </c>
      <c r="E199" s="8" t="s">
        <v>11</v>
      </c>
      <c r="F199" s="8" t="s">
        <v>32</v>
      </c>
      <c r="G199" s="8">
        <v>18</v>
      </c>
      <c r="H199" s="10">
        <v>1200</v>
      </c>
      <c r="I199" s="11">
        <v>0.08</v>
      </c>
    </row>
    <row r="200" spans="1:9">
      <c r="A200" s="4">
        <v>1199</v>
      </c>
      <c r="B200" s="5">
        <v>45789</v>
      </c>
      <c r="C200" s="4" t="s">
        <v>37</v>
      </c>
      <c r="D200" s="4" t="s">
        <v>36</v>
      </c>
      <c r="E200" s="4" t="s">
        <v>11</v>
      </c>
      <c r="F200" s="4" t="s">
        <v>24</v>
      </c>
      <c r="G200" s="4">
        <v>16</v>
      </c>
      <c r="H200" s="6">
        <v>1800</v>
      </c>
      <c r="I200" s="7">
        <v>0.08</v>
      </c>
    </row>
    <row r="201" spans="1:9">
      <c r="A201" s="8">
        <v>1200</v>
      </c>
      <c r="B201" s="9">
        <v>45897</v>
      </c>
      <c r="C201" s="8" t="s">
        <v>9</v>
      </c>
      <c r="D201" s="8" t="s">
        <v>10</v>
      </c>
      <c r="E201" s="8" t="s">
        <v>22</v>
      </c>
      <c r="F201" s="8" t="s">
        <v>23</v>
      </c>
      <c r="G201" s="8">
        <v>5</v>
      </c>
      <c r="H201" s="10">
        <v>18000</v>
      </c>
      <c r="I201" s="11">
        <v>0.05</v>
      </c>
    </row>
    <row r="202" spans="1:9">
      <c r="A202" s="4">
        <v>1201</v>
      </c>
      <c r="B202" s="5">
        <v>45704</v>
      </c>
      <c r="C202" s="4" t="s">
        <v>35</v>
      </c>
      <c r="D202" s="4" t="s">
        <v>36</v>
      </c>
      <c r="E202" s="4" t="s">
        <v>11</v>
      </c>
      <c r="F202" s="4" t="s">
        <v>24</v>
      </c>
      <c r="G202" s="4">
        <v>13</v>
      </c>
      <c r="H202" s="6">
        <v>3500</v>
      </c>
      <c r="I202" s="7">
        <v>0</v>
      </c>
    </row>
    <row r="203" spans="1:9">
      <c r="A203" s="8">
        <v>1202</v>
      </c>
      <c r="B203" s="9">
        <v>45890</v>
      </c>
      <c r="C203" s="8" t="s">
        <v>33</v>
      </c>
      <c r="D203" s="8" t="s">
        <v>10</v>
      </c>
      <c r="E203" s="8" t="s">
        <v>22</v>
      </c>
      <c r="F203" s="8" t="s">
        <v>23</v>
      </c>
      <c r="G203" s="8">
        <v>9</v>
      </c>
      <c r="H203" s="10">
        <v>2500</v>
      </c>
      <c r="I203" s="11">
        <v>0.12</v>
      </c>
    </row>
    <row r="204" spans="1:9">
      <c r="A204" s="4">
        <v>1203</v>
      </c>
      <c r="B204" s="5">
        <v>45713</v>
      </c>
      <c r="C204" s="4" t="s">
        <v>29</v>
      </c>
      <c r="D204" s="4" t="s">
        <v>30</v>
      </c>
      <c r="E204" s="4" t="s">
        <v>14</v>
      </c>
      <c r="F204" s="4" t="s">
        <v>23</v>
      </c>
      <c r="G204" s="4">
        <v>8</v>
      </c>
      <c r="H204" s="4">
        <v>250</v>
      </c>
      <c r="I204" s="7">
        <v>0.1</v>
      </c>
    </row>
    <row r="205" spans="1:9">
      <c r="A205" s="8">
        <v>1204</v>
      </c>
      <c r="B205" s="9">
        <v>45970</v>
      </c>
      <c r="C205" s="8" t="s">
        <v>19</v>
      </c>
      <c r="D205" s="8" t="s">
        <v>10</v>
      </c>
      <c r="E205" s="8" t="s">
        <v>22</v>
      </c>
      <c r="F205" s="8" t="s">
        <v>27</v>
      </c>
      <c r="G205" s="8">
        <v>3</v>
      </c>
      <c r="H205" s="8">
        <v>800</v>
      </c>
      <c r="I205" s="11">
        <v>0.15</v>
      </c>
    </row>
    <row r="206" spans="1:9">
      <c r="A206" s="4">
        <v>1205</v>
      </c>
      <c r="B206" s="5">
        <v>45990</v>
      </c>
      <c r="C206" s="4" t="s">
        <v>31</v>
      </c>
      <c r="D206" s="4" t="s">
        <v>26</v>
      </c>
      <c r="E206" s="4" t="s">
        <v>14</v>
      </c>
      <c r="F206" s="4" t="s">
        <v>18</v>
      </c>
      <c r="G206" s="4">
        <v>4</v>
      </c>
      <c r="H206" s="6">
        <v>8500</v>
      </c>
      <c r="I206" s="7">
        <v>0.05</v>
      </c>
    </row>
    <row r="207" spans="1:9">
      <c r="A207" s="8">
        <v>1206</v>
      </c>
      <c r="B207" s="9">
        <v>45813</v>
      </c>
      <c r="C207" s="8" t="s">
        <v>34</v>
      </c>
      <c r="D207" s="8" t="s">
        <v>26</v>
      </c>
      <c r="E207" s="8" t="s">
        <v>17</v>
      </c>
      <c r="F207" s="8" t="s">
        <v>32</v>
      </c>
      <c r="G207" s="8">
        <v>4</v>
      </c>
      <c r="H207" s="10">
        <v>15000</v>
      </c>
      <c r="I207" s="11">
        <v>0</v>
      </c>
    </row>
    <row r="208" spans="1:9">
      <c r="A208" s="4">
        <v>1207</v>
      </c>
      <c r="B208" s="5">
        <v>45856</v>
      </c>
      <c r="C208" s="4" t="s">
        <v>34</v>
      </c>
      <c r="D208" s="4" t="s">
        <v>26</v>
      </c>
      <c r="E208" s="4" t="s">
        <v>22</v>
      </c>
      <c r="F208" s="4" t="s">
        <v>32</v>
      </c>
      <c r="G208" s="4">
        <v>12</v>
      </c>
      <c r="H208" s="6">
        <v>15000</v>
      </c>
      <c r="I208" s="7">
        <v>0.15</v>
      </c>
    </row>
    <row r="209" spans="1:9">
      <c r="A209" s="8">
        <v>1208</v>
      </c>
      <c r="B209" s="9">
        <v>45870</v>
      </c>
      <c r="C209" s="8" t="s">
        <v>29</v>
      </c>
      <c r="D209" s="8" t="s">
        <v>30</v>
      </c>
      <c r="E209" s="8" t="s">
        <v>22</v>
      </c>
      <c r="F209" s="8" t="s">
        <v>27</v>
      </c>
      <c r="G209" s="8">
        <v>4</v>
      </c>
      <c r="H209" s="8">
        <v>250</v>
      </c>
      <c r="I209" s="11">
        <v>0.1</v>
      </c>
    </row>
    <row r="210" spans="1:9">
      <c r="A210" s="4">
        <v>1209</v>
      </c>
      <c r="B210" s="5">
        <v>45674</v>
      </c>
      <c r="C210" s="4" t="s">
        <v>39</v>
      </c>
      <c r="D210" s="4" t="s">
        <v>30</v>
      </c>
      <c r="E210" s="4" t="s">
        <v>22</v>
      </c>
      <c r="F210" s="4" t="s">
        <v>20</v>
      </c>
      <c r="G210" s="4">
        <v>12</v>
      </c>
      <c r="H210" s="4">
        <v>180</v>
      </c>
      <c r="I210" s="7">
        <v>0.05</v>
      </c>
    </row>
    <row r="211" spans="1:9">
      <c r="A211" s="8">
        <v>1210</v>
      </c>
      <c r="B211" s="9">
        <v>45778</v>
      </c>
      <c r="C211" s="8" t="s">
        <v>38</v>
      </c>
      <c r="D211" s="8" t="s">
        <v>10</v>
      </c>
      <c r="E211" s="8" t="s">
        <v>11</v>
      </c>
      <c r="F211" s="8" t="s">
        <v>23</v>
      </c>
      <c r="G211" s="8">
        <v>12</v>
      </c>
      <c r="H211" s="10">
        <v>42000</v>
      </c>
      <c r="I211" s="11">
        <v>0</v>
      </c>
    </row>
    <row r="212" spans="1:9">
      <c r="A212" s="4">
        <v>1211</v>
      </c>
      <c r="B212" s="5">
        <v>45689</v>
      </c>
      <c r="C212" s="4" t="s">
        <v>31</v>
      </c>
      <c r="D212" s="4" t="s">
        <v>26</v>
      </c>
      <c r="E212" s="4" t="s">
        <v>14</v>
      </c>
      <c r="F212" s="4" t="s">
        <v>20</v>
      </c>
      <c r="G212" s="4">
        <v>9</v>
      </c>
      <c r="H212" s="6">
        <v>8500</v>
      </c>
      <c r="I212" s="7">
        <v>0.05</v>
      </c>
    </row>
    <row r="213" spans="1:9">
      <c r="A213" s="8">
        <v>1212</v>
      </c>
      <c r="B213" s="9">
        <v>45704</v>
      </c>
      <c r="C213" s="8" t="s">
        <v>29</v>
      </c>
      <c r="D213" s="8" t="s">
        <v>30</v>
      </c>
      <c r="E213" s="8" t="s">
        <v>14</v>
      </c>
      <c r="F213" s="8" t="s">
        <v>18</v>
      </c>
      <c r="G213" s="8">
        <v>7</v>
      </c>
      <c r="H213" s="8">
        <v>250</v>
      </c>
      <c r="I213" s="11">
        <v>0.15</v>
      </c>
    </row>
    <row r="214" spans="1:9">
      <c r="A214" s="4">
        <v>1213</v>
      </c>
      <c r="B214" s="5">
        <v>45828</v>
      </c>
      <c r="C214" s="4" t="s">
        <v>19</v>
      </c>
      <c r="D214" s="4" t="s">
        <v>10</v>
      </c>
      <c r="E214" s="4" t="s">
        <v>17</v>
      </c>
      <c r="F214" s="4" t="s">
        <v>24</v>
      </c>
      <c r="G214" s="4">
        <v>5</v>
      </c>
      <c r="H214" s="4">
        <v>800</v>
      </c>
      <c r="I214" s="7">
        <v>0.12</v>
      </c>
    </row>
    <row r="215" spans="1:9">
      <c r="A215" s="8">
        <v>1214</v>
      </c>
      <c r="B215" s="9">
        <v>45941</v>
      </c>
      <c r="C215" s="8" t="s">
        <v>19</v>
      </c>
      <c r="D215" s="8" t="s">
        <v>10</v>
      </c>
      <c r="E215" s="8" t="s">
        <v>17</v>
      </c>
      <c r="F215" s="8" t="s">
        <v>23</v>
      </c>
      <c r="G215" s="8">
        <v>19</v>
      </c>
      <c r="H215" s="8">
        <v>800</v>
      </c>
      <c r="I215" s="11">
        <v>0.05</v>
      </c>
    </row>
    <row r="216" spans="1:9">
      <c r="A216" s="4">
        <v>1215</v>
      </c>
      <c r="B216" s="5">
        <v>45733</v>
      </c>
      <c r="C216" s="4" t="s">
        <v>35</v>
      </c>
      <c r="D216" s="4" t="s">
        <v>36</v>
      </c>
      <c r="E216" s="4" t="s">
        <v>11</v>
      </c>
      <c r="F216" s="4" t="s">
        <v>32</v>
      </c>
      <c r="G216" s="4">
        <v>20</v>
      </c>
      <c r="H216" s="6">
        <v>3500</v>
      </c>
      <c r="I216" s="7">
        <v>0</v>
      </c>
    </row>
    <row r="217" spans="1:9">
      <c r="A217" s="8">
        <v>1216</v>
      </c>
      <c r="B217" s="9">
        <v>45724</v>
      </c>
      <c r="C217" s="8" t="s">
        <v>25</v>
      </c>
      <c r="D217" s="8" t="s">
        <v>26</v>
      </c>
      <c r="E217" s="8" t="s">
        <v>14</v>
      </c>
      <c r="F217" s="8" t="s">
        <v>18</v>
      </c>
      <c r="G217" s="8">
        <v>9</v>
      </c>
      <c r="H217" s="10">
        <v>11000</v>
      </c>
      <c r="I217" s="11">
        <v>0.05</v>
      </c>
    </row>
    <row r="218" spans="1:9">
      <c r="A218" s="4">
        <v>1217</v>
      </c>
      <c r="B218" s="5">
        <v>45725</v>
      </c>
      <c r="C218" s="4" t="s">
        <v>16</v>
      </c>
      <c r="D218" s="4" t="s">
        <v>10</v>
      </c>
      <c r="E218" s="4" t="s">
        <v>11</v>
      </c>
      <c r="F218" s="4" t="s">
        <v>18</v>
      </c>
      <c r="G218" s="4">
        <v>12</v>
      </c>
      <c r="H218" s="6">
        <v>55000</v>
      </c>
      <c r="I218" s="7">
        <v>0.05</v>
      </c>
    </row>
    <row r="219" spans="1:9">
      <c r="A219" s="8">
        <v>1218</v>
      </c>
      <c r="B219" s="9">
        <v>45747</v>
      </c>
      <c r="C219" s="8" t="s">
        <v>21</v>
      </c>
      <c r="D219" s="8" t="s">
        <v>10</v>
      </c>
      <c r="E219" s="8" t="s">
        <v>22</v>
      </c>
      <c r="F219" s="8" t="s">
        <v>24</v>
      </c>
      <c r="G219" s="8">
        <v>2</v>
      </c>
      <c r="H219" s="10">
        <v>14000</v>
      </c>
      <c r="I219" s="11">
        <v>0.05</v>
      </c>
    </row>
    <row r="220" spans="1:9">
      <c r="A220" s="4">
        <v>1219</v>
      </c>
      <c r="B220" s="5">
        <v>45690</v>
      </c>
      <c r="C220" s="4" t="s">
        <v>34</v>
      </c>
      <c r="D220" s="4" t="s">
        <v>26</v>
      </c>
      <c r="E220" s="4" t="s">
        <v>14</v>
      </c>
      <c r="F220" s="4" t="s">
        <v>20</v>
      </c>
      <c r="G220" s="4">
        <v>15</v>
      </c>
      <c r="H220" s="6">
        <v>15000</v>
      </c>
      <c r="I220" s="7">
        <v>0.08</v>
      </c>
    </row>
    <row r="221" spans="1:9">
      <c r="A221" s="8">
        <v>1220</v>
      </c>
      <c r="B221" s="9">
        <v>45915</v>
      </c>
      <c r="C221" s="8" t="s">
        <v>19</v>
      </c>
      <c r="D221" s="8" t="s">
        <v>10</v>
      </c>
      <c r="E221" s="8" t="s">
        <v>11</v>
      </c>
      <c r="F221" s="8" t="s">
        <v>20</v>
      </c>
      <c r="G221" s="8">
        <v>20</v>
      </c>
      <c r="H221" s="8">
        <v>800</v>
      </c>
      <c r="I221" s="11">
        <v>0</v>
      </c>
    </row>
    <row r="222" spans="1:9">
      <c r="A222" s="4">
        <v>1221</v>
      </c>
      <c r="B222" s="5">
        <v>45987</v>
      </c>
      <c r="C222" s="4" t="s">
        <v>16</v>
      </c>
      <c r="D222" s="4" t="s">
        <v>10</v>
      </c>
      <c r="E222" s="4" t="s">
        <v>22</v>
      </c>
      <c r="F222" s="4" t="s">
        <v>15</v>
      </c>
      <c r="G222" s="4">
        <v>2</v>
      </c>
      <c r="H222" s="6">
        <v>55000</v>
      </c>
      <c r="I222" s="7">
        <v>0.1</v>
      </c>
    </row>
    <row r="223" spans="1:9">
      <c r="A223" s="8">
        <v>1222</v>
      </c>
      <c r="B223" s="9">
        <v>46009</v>
      </c>
      <c r="C223" s="8" t="s">
        <v>9</v>
      </c>
      <c r="D223" s="8" t="s">
        <v>10</v>
      </c>
      <c r="E223" s="8" t="s">
        <v>22</v>
      </c>
      <c r="F223" s="8" t="s">
        <v>24</v>
      </c>
      <c r="G223" s="8">
        <v>16</v>
      </c>
      <c r="H223" s="10">
        <v>18000</v>
      </c>
      <c r="I223" s="11">
        <v>0.15</v>
      </c>
    </row>
    <row r="224" spans="1:9">
      <c r="A224" s="4">
        <v>1223</v>
      </c>
      <c r="B224" s="5">
        <v>45699</v>
      </c>
      <c r="C224" s="4" t="s">
        <v>33</v>
      </c>
      <c r="D224" s="4" t="s">
        <v>10</v>
      </c>
      <c r="E224" s="4" t="s">
        <v>14</v>
      </c>
      <c r="F224" s="4" t="s">
        <v>32</v>
      </c>
      <c r="G224" s="4">
        <v>20</v>
      </c>
      <c r="H224" s="6">
        <v>2500</v>
      </c>
      <c r="I224" s="7">
        <v>0.05</v>
      </c>
    </row>
    <row r="225" spans="1:9">
      <c r="A225" s="8">
        <v>1224</v>
      </c>
      <c r="B225" s="9">
        <v>45798</v>
      </c>
      <c r="C225" s="8" t="s">
        <v>28</v>
      </c>
      <c r="D225" s="8" t="s">
        <v>26</v>
      </c>
      <c r="E225" s="8" t="s">
        <v>11</v>
      </c>
      <c r="F225" s="8" t="s">
        <v>15</v>
      </c>
      <c r="G225" s="8">
        <v>19</v>
      </c>
      <c r="H225" s="10">
        <v>9000</v>
      </c>
      <c r="I225" s="11">
        <v>0.12</v>
      </c>
    </row>
    <row r="226" spans="1:9">
      <c r="A226" s="4">
        <v>1225</v>
      </c>
      <c r="B226" s="5">
        <v>45963</v>
      </c>
      <c r="C226" s="4" t="s">
        <v>25</v>
      </c>
      <c r="D226" s="4" t="s">
        <v>26</v>
      </c>
      <c r="E226" s="4" t="s">
        <v>41</v>
      </c>
      <c r="F226" s="4" t="s">
        <v>24</v>
      </c>
      <c r="G226" s="4">
        <v>10</v>
      </c>
      <c r="H226" s="6">
        <v>11000</v>
      </c>
      <c r="I226" s="7">
        <v>0.1</v>
      </c>
    </row>
    <row r="227" spans="1:9">
      <c r="A227" s="8">
        <v>1226</v>
      </c>
      <c r="B227" s="9">
        <v>46017</v>
      </c>
      <c r="C227" s="8" t="s">
        <v>9</v>
      </c>
      <c r="D227" s="8" t="s">
        <v>10</v>
      </c>
      <c r="E227" s="8" t="s">
        <v>17</v>
      </c>
      <c r="F227" s="8" t="s">
        <v>15</v>
      </c>
      <c r="G227" s="8">
        <v>18</v>
      </c>
      <c r="H227" s="10">
        <v>18000</v>
      </c>
      <c r="I227" s="11">
        <v>0.15</v>
      </c>
    </row>
    <row r="228" spans="1:9">
      <c r="A228" s="4">
        <v>1227</v>
      </c>
      <c r="B228" s="5">
        <v>45889</v>
      </c>
      <c r="C228" s="4" t="s">
        <v>37</v>
      </c>
      <c r="D228" s="4" t="s">
        <v>36</v>
      </c>
      <c r="E228" s="4" t="s">
        <v>11</v>
      </c>
      <c r="F228" s="4" t="s">
        <v>20</v>
      </c>
      <c r="G228" s="4">
        <v>8</v>
      </c>
      <c r="H228" s="6">
        <v>1800</v>
      </c>
      <c r="I228" s="7">
        <v>0.1</v>
      </c>
    </row>
    <row r="229" spans="1:9">
      <c r="A229" s="8">
        <v>1228</v>
      </c>
      <c r="B229" s="9">
        <v>45862</v>
      </c>
      <c r="C229" s="8" t="s">
        <v>31</v>
      </c>
      <c r="D229" s="8" t="s">
        <v>26</v>
      </c>
      <c r="E229" s="8" t="s">
        <v>22</v>
      </c>
      <c r="F229" s="8" t="s">
        <v>23</v>
      </c>
      <c r="G229" s="8">
        <v>4</v>
      </c>
      <c r="H229" s="10">
        <v>8500</v>
      </c>
      <c r="I229" s="11">
        <v>0.08</v>
      </c>
    </row>
    <row r="230" spans="1:9">
      <c r="A230" s="4">
        <v>1229</v>
      </c>
      <c r="B230" s="5">
        <v>45998</v>
      </c>
      <c r="C230" s="4" t="s">
        <v>21</v>
      </c>
      <c r="D230" s="4" t="s">
        <v>10</v>
      </c>
      <c r="E230" s="4" t="s">
        <v>22</v>
      </c>
      <c r="F230" s="4" t="s">
        <v>24</v>
      </c>
      <c r="G230" s="4">
        <v>12</v>
      </c>
      <c r="H230" s="6">
        <v>14000</v>
      </c>
      <c r="I230" s="7">
        <v>0.05</v>
      </c>
    </row>
    <row r="231" spans="1:9">
      <c r="A231" s="8">
        <v>1230</v>
      </c>
      <c r="B231" s="9">
        <v>45704</v>
      </c>
      <c r="C231" s="8" t="s">
        <v>38</v>
      </c>
      <c r="D231" s="8" t="s">
        <v>10</v>
      </c>
      <c r="E231" s="8" t="s">
        <v>22</v>
      </c>
      <c r="F231" s="8" t="s">
        <v>24</v>
      </c>
      <c r="G231" s="8">
        <v>3</v>
      </c>
      <c r="H231" s="10">
        <v>42000</v>
      </c>
      <c r="I231" s="11">
        <v>0</v>
      </c>
    </row>
    <row r="232" spans="1:9">
      <c r="A232" s="4">
        <v>1231</v>
      </c>
      <c r="B232" s="5">
        <v>45848</v>
      </c>
      <c r="C232" s="4" t="s">
        <v>35</v>
      </c>
      <c r="D232" s="4" t="s">
        <v>36</v>
      </c>
      <c r="E232" s="4" t="s">
        <v>14</v>
      </c>
      <c r="F232" s="4" t="s">
        <v>23</v>
      </c>
      <c r="G232" s="4">
        <v>5</v>
      </c>
      <c r="H232" s="6">
        <v>3500</v>
      </c>
      <c r="I232" s="7">
        <v>0.12</v>
      </c>
    </row>
    <row r="233" spans="1:9">
      <c r="A233" s="8">
        <v>1232</v>
      </c>
      <c r="B233" s="9">
        <v>46001</v>
      </c>
      <c r="C233" s="8" t="s">
        <v>9</v>
      </c>
      <c r="D233" s="8" t="s">
        <v>10</v>
      </c>
      <c r="E233" s="8" t="s">
        <v>22</v>
      </c>
      <c r="F233" s="8" t="s">
        <v>18</v>
      </c>
      <c r="G233" s="8">
        <v>14</v>
      </c>
      <c r="H233" s="10">
        <v>18000</v>
      </c>
      <c r="I233" s="11">
        <v>0.08</v>
      </c>
    </row>
    <row r="234" spans="1:9">
      <c r="A234" s="4">
        <v>1233</v>
      </c>
      <c r="B234" s="5">
        <v>45805</v>
      </c>
      <c r="C234" s="4" t="s">
        <v>28</v>
      </c>
      <c r="D234" s="4" t="s">
        <v>26</v>
      </c>
      <c r="E234" s="4" t="s">
        <v>14</v>
      </c>
      <c r="F234" s="4" t="s">
        <v>12</v>
      </c>
      <c r="G234" s="4">
        <v>10</v>
      </c>
      <c r="H234" s="6">
        <v>9000</v>
      </c>
      <c r="I234" s="7">
        <v>0.08</v>
      </c>
    </row>
    <row r="235" spans="1:9">
      <c r="A235" s="8">
        <v>1234</v>
      </c>
      <c r="B235" s="9">
        <v>45737</v>
      </c>
      <c r="C235" s="8" t="s">
        <v>29</v>
      </c>
      <c r="D235" s="8" t="s">
        <v>30</v>
      </c>
      <c r="E235" s="8" t="s">
        <v>14</v>
      </c>
      <c r="F235" s="8" t="s">
        <v>23</v>
      </c>
      <c r="G235" s="8">
        <v>16</v>
      </c>
      <c r="H235" s="8">
        <v>250</v>
      </c>
      <c r="I235" s="11">
        <v>0.05</v>
      </c>
    </row>
    <row r="236" spans="1:9">
      <c r="A236" s="4">
        <v>1235</v>
      </c>
      <c r="B236" s="5">
        <v>45942</v>
      </c>
      <c r="C236" s="4" t="s">
        <v>33</v>
      </c>
      <c r="D236" s="4" t="s">
        <v>10</v>
      </c>
      <c r="E236" s="4" t="s">
        <v>17</v>
      </c>
      <c r="F236" s="4" t="s">
        <v>15</v>
      </c>
      <c r="G236" s="4">
        <v>4</v>
      </c>
      <c r="H236" s="6">
        <v>2500</v>
      </c>
      <c r="I236" s="7">
        <v>0.08</v>
      </c>
    </row>
    <row r="237" spans="1:9">
      <c r="A237" s="8">
        <v>1236</v>
      </c>
      <c r="B237" s="9">
        <v>45945</v>
      </c>
      <c r="C237" s="8" t="s">
        <v>35</v>
      </c>
      <c r="D237" s="8" t="s">
        <v>36</v>
      </c>
      <c r="E237" s="8" t="s">
        <v>14</v>
      </c>
      <c r="F237" s="8" t="s">
        <v>27</v>
      </c>
      <c r="G237" s="8">
        <v>20</v>
      </c>
      <c r="H237" s="10">
        <v>3500</v>
      </c>
      <c r="I237" s="11">
        <v>0.12</v>
      </c>
    </row>
    <row r="238" spans="1:9">
      <c r="A238" s="4">
        <v>1237</v>
      </c>
      <c r="B238" s="5">
        <v>45672</v>
      </c>
      <c r="C238" s="4" t="s">
        <v>13</v>
      </c>
      <c r="D238" s="4" t="s">
        <v>10</v>
      </c>
      <c r="E238" s="4" t="s">
        <v>11</v>
      </c>
      <c r="F238" s="4" t="s">
        <v>23</v>
      </c>
      <c r="G238" s="4">
        <v>9</v>
      </c>
      <c r="H238" s="6">
        <v>1200</v>
      </c>
      <c r="I238" s="7">
        <v>0.15</v>
      </c>
    </row>
    <row r="239" spans="1:9">
      <c r="A239" s="8">
        <v>1238</v>
      </c>
      <c r="B239" s="9">
        <v>45837</v>
      </c>
      <c r="C239" s="8" t="s">
        <v>16</v>
      </c>
      <c r="D239" s="8" t="s">
        <v>10</v>
      </c>
      <c r="E239" s="8" t="s">
        <v>22</v>
      </c>
      <c r="F239" s="8" t="s">
        <v>24</v>
      </c>
      <c r="G239" s="8">
        <v>6</v>
      </c>
      <c r="H239" s="10">
        <v>55000</v>
      </c>
      <c r="I239" s="11">
        <v>0.05</v>
      </c>
    </row>
    <row r="240" spans="1:9">
      <c r="A240" s="4">
        <v>1239</v>
      </c>
      <c r="B240" s="5">
        <v>45730</v>
      </c>
      <c r="C240" s="4" t="s">
        <v>39</v>
      </c>
      <c r="D240" s="4" t="s">
        <v>30</v>
      </c>
      <c r="E240" s="4" t="s">
        <v>17</v>
      </c>
      <c r="F240" s="4" t="s">
        <v>15</v>
      </c>
      <c r="G240" s="4">
        <v>1</v>
      </c>
      <c r="H240" s="4">
        <v>180</v>
      </c>
      <c r="I240" s="7">
        <v>0</v>
      </c>
    </row>
    <row r="241" spans="1:9">
      <c r="A241" s="8">
        <v>1240</v>
      </c>
      <c r="B241" s="9">
        <v>45872</v>
      </c>
      <c r="C241" s="8" t="s">
        <v>34</v>
      </c>
      <c r="D241" s="8" t="s">
        <v>26</v>
      </c>
      <c r="E241" s="8" t="s">
        <v>11</v>
      </c>
      <c r="F241" s="8" t="s">
        <v>27</v>
      </c>
      <c r="G241" s="8">
        <v>11</v>
      </c>
      <c r="H241" s="10">
        <v>15000</v>
      </c>
      <c r="I241" s="11">
        <v>0.05</v>
      </c>
    </row>
    <row r="242" spans="1:9">
      <c r="A242" s="4">
        <v>1241</v>
      </c>
      <c r="B242" s="5">
        <v>45824</v>
      </c>
      <c r="C242" s="4" t="s">
        <v>35</v>
      </c>
      <c r="D242" s="4" t="s">
        <v>36</v>
      </c>
      <c r="E242" s="4" t="s">
        <v>14</v>
      </c>
      <c r="F242" s="4" t="s">
        <v>18</v>
      </c>
      <c r="G242" s="4">
        <v>19</v>
      </c>
      <c r="H242" s="6">
        <v>3500</v>
      </c>
      <c r="I242" s="7">
        <v>0.12</v>
      </c>
    </row>
    <row r="243" spans="1:9">
      <c r="A243" s="8">
        <v>1242</v>
      </c>
      <c r="B243" s="9">
        <v>45737</v>
      </c>
      <c r="C243" s="8" t="s">
        <v>13</v>
      </c>
      <c r="D243" s="8" t="s">
        <v>10</v>
      </c>
      <c r="E243" s="8" t="s">
        <v>14</v>
      </c>
      <c r="F243" s="8" t="s">
        <v>27</v>
      </c>
      <c r="G243" s="8">
        <v>20</v>
      </c>
      <c r="H243" s="10">
        <v>1200</v>
      </c>
      <c r="I243" s="11">
        <v>0</v>
      </c>
    </row>
    <row r="244" spans="1:9">
      <c r="A244" s="4">
        <v>1243</v>
      </c>
      <c r="B244" s="5">
        <v>45884</v>
      </c>
      <c r="C244" s="4" t="s">
        <v>29</v>
      </c>
      <c r="D244" s="4" t="s">
        <v>30</v>
      </c>
      <c r="E244" s="4" t="s">
        <v>22</v>
      </c>
      <c r="F244" s="4" t="s">
        <v>15</v>
      </c>
      <c r="G244" s="4">
        <v>14</v>
      </c>
      <c r="H244" s="4">
        <v>250</v>
      </c>
      <c r="I244" s="7">
        <v>0.1</v>
      </c>
    </row>
    <row r="245" spans="1:9">
      <c r="A245" s="8">
        <v>1244</v>
      </c>
      <c r="B245" s="9">
        <v>45797</v>
      </c>
      <c r="C245" s="8" t="s">
        <v>19</v>
      </c>
      <c r="D245" s="8" t="s">
        <v>10</v>
      </c>
      <c r="E245" s="8" t="s">
        <v>11</v>
      </c>
      <c r="F245" s="8" t="s">
        <v>15</v>
      </c>
      <c r="G245" s="8">
        <v>17</v>
      </c>
      <c r="H245" s="8">
        <v>800</v>
      </c>
      <c r="I245" s="11">
        <v>0</v>
      </c>
    </row>
    <row r="246" spans="1:9">
      <c r="A246" s="4">
        <v>1245</v>
      </c>
      <c r="B246" s="5">
        <v>45714</v>
      </c>
      <c r="C246" s="4" t="s">
        <v>21</v>
      </c>
      <c r="D246" s="4" t="s">
        <v>10</v>
      </c>
      <c r="E246" s="4" t="s">
        <v>11</v>
      </c>
      <c r="F246" s="4" t="s">
        <v>18</v>
      </c>
      <c r="G246" s="4">
        <v>19</v>
      </c>
      <c r="H246" s="6">
        <v>14000</v>
      </c>
      <c r="I246" s="7">
        <v>0.1</v>
      </c>
    </row>
    <row r="247" spans="1:9">
      <c r="A247" s="8">
        <v>1246</v>
      </c>
      <c r="B247" s="9">
        <v>45770</v>
      </c>
      <c r="C247" s="8" t="s">
        <v>31</v>
      </c>
      <c r="D247" s="8" t="s">
        <v>26</v>
      </c>
      <c r="E247" s="8" t="s">
        <v>14</v>
      </c>
      <c r="F247" s="8" t="s">
        <v>12</v>
      </c>
      <c r="G247" s="8">
        <v>20</v>
      </c>
      <c r="H247" s="10">
        <v>8500</v>
      </c>
      <c r="I247" s="11">
        <v>0</v>
      </c>
    </row>
    <row r="248" spans="1:9">
      <c r="A248" s="4">
        <v>1247</v>
      </c>
      <c r="B248" s="5">
        <v>45812</v>
      </c>
      <c r="C248" s="4" t="s">
        <v>19</v>
      </c>
      <c r="D248" s="4" t="s">
        <v>10</v>
      </c>
      <c r="E248" s="4" t="s">
        <v>11</v>
      </c>
      <c r="F248" s="4" t="s">
        <v>23</v>
      </c>
      <c r="G248" s="4">
        <v>5</v>
      </c>
      <c r="H248" s="4">
        <v>800</v>
      </c>
      <c r="I248" s="7">
        <v>0.08</v>
      </c>
    </row>
    <row r="249" spans="1:9">
      <c r="A249" s="8">
        <v>1248</v>
      </c>
      <c r="B249" s="9">
        <v>45719</v>
      </c>
      <c r="C249" s="8" t="s">
        <v>16</v>
      </c>
      <c r="D249" s="8" t="s">
        <v>10</v>
      </c>
      <c r="E249" s="8" t="s">
        <v>22</v>
      </c>
      <c r="F249" s="8" t="s">
        <v>32</v>
      </c>
      <c r="G249" s="8">
        <v>16</v>
      </c>
      <c r="H249" s="10">
        <v>55000</v>
      </c>
      <c r="I249" s="11">
        <v>0.15</v>
      </c>
    </row>
    <row r="250" spans="1:9">
      <c r="A250" s="4">
        <v>1249</v>
      </c>
      <c r="B250" s="5">
        <v>45724</v>
      </c>
      <c r="C250" s="4" t="s">
        <v>31</v>
      </c>
      <c r="D250" s="4" t="s">
        <v>26</v>
      </c>
      <c r="E250" s="4" t="s">
        <v>17</v>
      </c>
      <c r="F250" s="4" t="s">
        <v>23</v>
      </c>
      <c r="G250" s="4">
        <v>18</v>
      </c>
      <c r="H250" s="6">
        <v>8500</v>
      </c>
      <c r="I250" s="7">
        <v>0.15</v>
      </c>
    </row>
    <row r="251" spans="1:9">
      <c r="A251" s="8">
        <v>1250</v>
      </c>
      <c r="B251" s="9">
        <v>45694</v>
      </c>
      <c r="C251" s="8" t="s">
        <v>31</v>
      </c>
      <c r="D251" s="8" t="s">
        <v>26</v>
      </c>
      <c r="E251" s="8" t="s">
        <v>14</v>
      </c>
      <c r="F251" s="8" t="s">
        <v>20</v>
      </c>
      <c r="G251" s="8">
        <v>2</v>
      </c>
      <c r="H251" s="10">
        <v>8500</v>
      </c>
      <c r="I251" s="11">
        <v>0.1</v>
      </c>
    </row>
    <row r="252" spans="1:9">
      <c r="A252" s="4">
        <v>1251</v>
      </c>
      <c r="B252" s="5">
        <v>45697</v>
      </c>
      <c r="C252" s="4" t="s">
        <v>38</v>
      </c>
      <c r="D252" s="4" t="s">
        <v>10</v>
      </c>
      <c r="E252" s="4" t="s">
        <v>22</v>
      </c>
      <c r="F252" s="4" t="s">
        <v>15</v>
      </c>
      <c r="G252" s="4">
        <v>11</v>
      </c>
      <c r="H252" s="6">
        <v>42000</v>
      </c>
      <c r="I252" s="7">
        <v>0.12</v>
      </c>
    </row>
    <row r="253" spans="1:9">
      <c r="A253" s="8">
        <v>1252</v>
      </c>
      <c r="B253" s="9">
        <v>46021</v>
      </c>
      <c r="C253" s="8" t="s">
        <v>29</v>
      </c>
      <c r="D253" s="8" t="s">
        <v>30</v>
      </c>
      <c r="E253" s="8" t="s">
        <v>14</v>
      </c>
      <c r="F253" s="8" t="s">
        <v>15</v>
      </c>
      <c r="G253" s="8">
        <v>14</v>
      </c>
      <c r="H253" s="8">
        <v>250</v>
      </c>
      <c r="I253" s="11">
        <v>0.08</v>
      </c>
    </row>
    <row r="254" spans="1:9">
      <c r="A254" s="4">
        <v>1253</v>
      </c>
      <c r="B254" s="5">
        <v>45668</v>
      </c>
      <c r="C254" s="4" t="s">
        <v>33</v>
      </c>
      <c r="D254" s="4" t="s">
        <v>10</v>
      </c>
      <c r="E254" s="4" t="s">
        <v>22</v>
      </c>
      <c r="F254" s="4" t="s">
        <v>23</v>
      </c>
      <c r="G254" s="4">
        <v>6</v>
      </c>
      <c r="H254" s="6">
        <v>2500</v>
      </c>
      <c r="I254" s="7">
        <v>0.12</v>
      </c>
    </row>
    <row r="255" spans="1:9">
      <c r="A255" s="8">
        <v>1254</v>
      </c>
      <c r="B255" s="9">
        <v>45703</v>
      </c>
      <c r="C255" s="8" t="s">
        <v>31</v>
      </c>
      <c r="D255" s="8" t="s">
        <v>26</v>
      </c>
      <c r="E255" s="8" t="s">
        <v>22</v>
      </c>
      <c r="F255" s="8" t="s">
        <v>15</v>
      </c>
      <c r="G255" s="8">
        <v>4</v>
      </c>
      <c r="H255" s="10">
        <v>8500</v>
      </c>
      <c r="I255" s="11">
        <v>0.05</v>
      </c>
    </row>
    <row r="256" spans="1:9">
      <c r="A256" s="4">
        <v>1255</v>
      </c>
      <c r="B256" s="5">
        <v>45926</v>
      </c>
      <c r="C256" s="4" t="s">
        <v>9</v>
      </c>
      <c r="D256" s="4" t="s">
        <v>10</v>
      </c>
      <c r="E256" s="4" t="s">
        <v>11</v>
      </c>
      <c r="F256" s="4" t="s">
        <v>12</v>
      </c>
      <c r="G256" s="4">
        <v>13</v>
      </c>
      <c r="H256" s="6">
        <v>18000</v>
      </c>
      <c r="I256" s="7">
        <v>0.08</v>
      </c>
    </row>
    <row r="257" spans="1:9">
      <c r="A257" s="8">
        <v>1256</v>
      </c>
      <c r="B257" s="9">
        <v>45828</v>
      </c>
      <c r="C257" s="8" t="s">
        <v>35</v>
      </c>
      <c r="D257" s="8" t="s">
        <v>36</v>
      </c>
      <c r="E257" s="8" t="s">
        <v>14</v>
      </c>
      <c r="F257" s="8" t="s">
        <v>12</v>
      </c>
      <c r="G257" s="8">
        <v>6</v>
      </c>
      <c r="H257" s="10">
        <v>3500</v>
      </c>
      <c r="I257" s="11">
        <v>0</v>
      </c>
    </row>
    <row r="258" spans="1:9">
      <c r="A258" s="4">
        <v>1257</v>
      </c>
      <c r="B258" s="5">
        <v>45836</v>
      </c>
      <c r="C258" s="4" t="s">
        <v>33</v>
      </c>
      <c r="D258" s="4" t="s">
        <v>10</v>
      </c>
      <c r="E258" s="4" t="s">
        <v>14</v>
      </c>
      <c r="F258" s="4" t="s">
        <v>32</v>
      </c>
      <c r="G258" s="4">
        <v>5</v>
      </c>
      <c r="H258" s="6">
        <v>2500</v>
      </c>
      <c r="I258" s="7">
        <v>0.05</v>
      </c>
    </row>
    <row r="259" spans="1:9">
      <c r="A259" s="8">
        <v>1258</v>
      </c>
      <c r="B259" s="9">
        <v>45789</v>
      </c>
      <c r="C259" s="8" t="s">
        <v>19</v>
      </c>
      <c r="D259" s="8" t="s">
        <v>10</v>
      </c>
      <c r="E259" s="8" t="s">
        <v>17</v>
      </c>
      <c r="F259" s="8" t="s">
        <v>24</v>
      </c>
      <c r="G259" s="8">
        <v>6</v>
      </c>
      <c r="H259" s="8">
        <v>800</v>
      </c>
      <c r="I259" s="11">
        <v>0.12</v>
      </c>
    </row>
    <row r="260" spans="1:9">
      <c r="A260" s="4">
        <v>1259</v>
      </c>
      <c r="B260" s="5">
        <v>45748</v>
      </c>
      <c r="C260" s="4" t="s">
        <v>35</v>
      </c>
      <c r="D260" s="4" t="s">
        <v>36</v>
      </c>
      <c r="E260" s="4" t="s">
        <v>22</v>
      </c>
      <c r="F260" s="4" t="s">
        <v>23</v>
      </c>
      <c r="G260" s="4">
        <v>16</v>
      </c>
      <c r="H260" s="6">
        <v>3500</v>
      </c>
      <c r="I260" s="7">
        <v>0.1</v>
      </c>
    </row>
    <row r="261" spans="1:9">
      <c r="A261" s="8">
        <v>1260</v>
      </c>
      <c r="B261" s="9">
        <v>45979</v>
      </c>
      <c r="C261" s="8" t="s">
        <v>33</v>
      </c>
      <c r="D261" s="8" t="s">
        <v>10</v>
      </c>
      <c r="E261" s="8" t="s">
        <v>14</v>
      </c>
      <c r="F261" s="8" t="s">
        <v>20</v>
      </c>
      <c r="G261" s="8">
        <v>5</v>
      </c>
      <c r="H261" s="10">
        <v>2500</v>
      </c>
      <c r="I261" s="11">
        <v>0.1</v>
      </c>
    </row>
    <row r="262" spans="1:9">
      <c r="A262" s="4">
        <v>1261</v>
      </c>
      <c r="B262" s="5">
        <v>45884</v>
      </c>
      <c r="C262" s="4" t="s">
        <v>29</v>
      </c>
      <c r="D262" s="4" t="s">
        <v>30</v>
      </c>
      <c r="E262" s="4" t="s">
        <v>14</v>
      </c>
      <c r="F262" s="4" t="s">
        <v>23</v>
      </c>
      <c r="G262" s="4">
        <v>10</v>
      </c>
      <c r="H262" s="4">
        <v>250</v>
      </c>
      <c r="I262" s="7">
        <v>0.08</v>
      </c>
    </row>
    <row r="263" spans="1:9">
      <c r="A263" s="8">
        <v>1262</v>
      </c>
      <c r="B263" s="9">
        <v>45917</v>
      </c>
      <c r="C263" s="8" t="s">
        <v>9</v>
      </c>
      <c r="D263" s="8" t="s">
        <v>10</v>
      </c>
      <c r="E263" s="8" t="s">
        <v>22</v>
      </c>
      <c r="F263" s="8" t="s">
        <v>18</v>
      </c>
      <c r="G263" s="8">
        <v>10</v>
      </c>
      <c r="H263" s="10">
        <v>18000</v>
      </c>
      <c r="I263" s="11">
        <v>0.1</v>
      </c>
    </row>
    <row r="264" spans="1:9">
      <c r="A264" s="4">
        <v>1263</v>
      </c>
      <c r="B264" s="5">
        <v>45687</v>
      </c>
      <c r="C264" s="4" t="s">
        <v>33</v>
      </c>
      <c r="D264" s="4" t="s">
        <v>10</v>
      </c>
      <c r="E264" s="4" t="s">
        <v>14</v>
      </c>
      <c r="F264" s="4" t="s">
        <v>15</v>
      </c>
      <c r="G264" s="4">
        <v>10</v>
      </c>
      <c r="H264" s="6">
        <v>2500</v>
      </c>
      <c r="I264" s="7">
        <v>0</v>
      </c>
    </row>
    <row r="265" spans="1:9">
      <c r="A265" s="8">
        <v>1264</v>
      </c>
      <c r="B265" s="9">
        <v>45894</v>
      </c>
      <c r="C265" s="8" t="s">
        <v>28</v>
      </c>
      <c r="D265" s="8" t="s">
        <v>26</v>
      </c>
      <c r="E265" s="8" t="s">
        <v>14</v>
      </c>
      <c r="F265" s="8" t="s">
        <v>20</v>
      </c>
      <c r="G265" s="8">
        <v>18</v>
      </c>
      <c r="H265" s="10">
        <v>9000</v>
      </c>
      <c r="I265" s="11">
        <v>0.15</v>
      </c>
    </row>
    <row r="266" spans="1:9">
      <c r="A266" s="4">
        <v>1265</v>
      </c>
      <c r="B266" s="5">
        <v>45950</v>
      </c>
      <c r="C266" s="4" t="s">
        <v>29</v>
      </c>
      <c r="D266" s="4" t="s">
        <v>30</v>
      </c>
      <c r="E266" s="4" t="s">
        <v>22</v>
      </c>
      <c r="F266" s="4" t="s">
        <v>32</v>
      </c>
      <c r="G266" s="4">
        <v>7</v>
      </c>
      <c r="H266" s="4">
        <v>250</v>
      </c>
      <c r="I266" s="7">
        <v>0.08</v>
      </c>
    </row>
    <row r="267" spans="1:9">
      <c r="A267" s="8">
        <v>1266</v>
      </c>
      <c r="B267" s="9">
        <v>45689</v>
      </c>
      <c r="C267" s="8" t="s">
        <v>34</v>
      </c>
      <c r="D267" s="8" t="s">
        <v>26</v>
      </c>
      <c r="E267" s="8" t="s">
        <v>14</v>
      </c>
      <c r="F267" s="8" t="s">
        <v>32</v>
      </c>
      <c r="G267" s="8">
        <v>4</v>
      </c>
      <c r="H267" s="10">
        <v>15000</v>
      </c>
      <c r="I267" s="11">
        <v>0.08</v>
      </c>
    </row>
    <row r="268" spans="1:9">
      <c r="A268" s="4">
        <v>1267</v>
      </c>
      <c r="B268" s="5">
        <v>45678</v>
      </c>
      <c r="C268" s="4" t="s">
        <v>19</v>
      </c>
      <c r="D268" s="4" t="s">
        <v>10</v>
      </c>
      <c r="E268" s="4" t="s">
        <v>17</v>
      </c>
      <c r="F268" s="4" t="s">
        <v>23</v>
      </c>
      <c r="G268" s="4">
        <v>15</v>
      </c>
      <c r="H268" s="4">
        <v>800</v>
      </c>
      <c r="I268" s="7">
        <v>0.1</v>
      </c>
    </row>
    <row r="269" spans="1:9">
      <c r="A269" s="8">
        <v>1268</v>
      </c>
      <c r="B269" s="9">
        <v>45848</v>
      </c>
      <c r="C269" s="8" t="s">
        <v>37</v>
      </c>
      <c r="D269" s="8" t="s">
        <v>36</v>
      </c>
      <c r="E269" s="8" t="s">
        <v>22</v>
      </c>
      <c r="F269" s="8" t="s">
        <v>23</v>
      </c>
      <c r="G269" s="8">
        <v>10</v>
      </c>
      <c r="H269" s="10">
        <v>1800</v>
      </c>
      <c r="I269" s="11">
        <v>0.1</v>
      </c>
    </row>
    <row r="270" spans="1:9">
      <c r="A270" s="4">
        <v>1269</v>
      </c>
      <c r="B270" s="5">
        <v>46005</v>
      </c>
      <c r="C270" s="4" t="s">
        <v>28</v>
      </c>
      <c r="D270" s="4" t="s">
        <v>26</v>
      </c>
      <c r="E270" s="4" t="s">
        <v>11</v>
      </c>
      <c r="F270" s="4" t="s">
        <v>24</v>
      </c>
      <c r="G270" s="4">
        <v>2</v>
      </c>
      <c r="H270" s="6">
        <v>9000</v>
      </c>
      <c r="I270" s="7">
        <v>0.15</v>
      </c>
    </row>
    <row r="271" spans="1:9">
      <c r="A271" s="8">
        <v>1270</v>
      </c>
      <c r="B271" s="9">
        <v>45826</v>
      </c>
      <c r="C271" s="8" t="s">
        <v>9</v>
      </c>
      <c r="D271" s="8" t="s">
        <v>10</v>
      </c>
      <c r="E271" s="8" t="s">
        <v>22</v>
      </c>
      <c r="F271" s="8" t="s">
        <v>27</v>
      </c>
      <c r="G271" s="8">
        <v>18</v>
      </c>
      <c r="H271" s="10">
        <v>18000</v>
      </c>
      <c r="I271" s="11">
        <v>0.15</v>
      </c>
    </row>
    <row r="272" spans="1:9">
      <c r="A272" s="4">
        <v>1271</v>
      </c>
      <c r="B272" s="5">
        <v>45787</v>
      </c>
      <c r="C272" s="4" t="s">
        <v>39</v>
      </c>
      <c r="D272" s="4" t="s">
        <v>30</v>
      </c>
      <c r="E272" s="4" t="s">
        <v>11</v>
      </c>
      <c r="F272" s="4" t="s">
        <v>24</v>
      </c>
      <c r="G272" s="4">
        <v>20</v>
      </c>
      <c r="H272" s="4">
        <v>180</v>
      </c>
      <c r="I272" s="7">
        <v>0.05</v>
      </c>
    </row>
    <row r="273" spans="1:9">
      <c r="A273" s="8">
        <v>1272</v>
      </c>
      <c r="B273" s="9">
        <v>45956</v>
      </c>
      <c r="C273" s="8" t="s">
        <v>29</v>
      </c>
      <c r="D273" s="8" t="s">
        <v>30</v>
      </c>
      <c r="E273" s="8" t="s">
        <v>11</v>
      </c>
      <c r="F273" s="8" t="s">
        <v>15</v>
      </c>
      <c r="G273" s="8">
        <v>5</v>
      </c>
      <c r="H273" s="8">
        <v>250</v>
      </c>
      <c r="I273" s="11">
        <v>0.08</v>
      </c>
    </row>
    <row r="274" spans="1:9">
      <c r="A274" s="4">
        <v>1273</v>
      </c>
      <c r="B274" s="5">
        <v>45724</v>
      </c>
      <c r="C274" s="4" t="s">
        <v>28</v>
      </c>
      <c r="D274" s="4" t="s">
        <v>26</v>
      </c>
      <c r="E274" s="4" t="s">
        <v>22</v>
      </c>
      <c r="F274" s="4" t="s">
        <v>23</v>
      </c>
      <c r="G274" s="4">
        <v>3</v>
      </c>
      <c r="H274" s="6">
        <v>9000</v>
      </c>
      <c r="I274" s="7">
        <v>0.08</v>
      </c>
    </row>
    <row r="275" spans="1:9">
      <c r="A275" s="8">
        <v>1274</v>
      </c>
      <c r="B275" s="9">
        <v>45723</v>
      </c>
      <c r="C275" s="8" t="s">
        <v>29</v>
      </c>
      <c r="D275" s="8" t="s">
        <v>30</v>
      </c>
      <c r="E275" s="8" t="s">
        <v>22</v>
      </c>
      <c r="F275" s="8" t="s">
        <v>23</v>
      </c>
      <c r="G275" s="8">
        <v>17</v>
      </c>
      <c r="H275" s="8">
        <v>250</v>
      </c>
      <c r="I275" s="11">
        <v>0</v>
      </c>
    </row>
    <row r="276" spans="1:9">
      <c r="A276" s="4">
        <v>1275</v>
      </c>
      <c r="B276" s="5">
        <v>45667</v>
      </c>
      <c r="C276" s="4" t="s">
        <v>33</v>
      </c>
      <c r="D276" s="4" t="s">
        <v>10</v>
      </c>
      <c r="E276" s="4" t="s">
        <v>17</v>
      </c>
      <c r="F276" s="4" t="s">
        <v>23</v>
      </c>
      <c r="G276" s="4">
        <v>10</v>
      </c>
      <c r="H276" s="6">
        <v>2500</v>
      </c>
      <c r="I276" s="7">
        <v>0.05</v>
      </c>
    </row>
    <row r="277" spans="1:9">
      <c r="A277" s="8">
        <v>1276</v>
      </c>
      <c r="B277" s="9">
        <v>45906</v>
      </c>
      <c r="C277" s="8" t="s">
        <v>19</v>
      </c>
      <c r="D277" s="8" t="s">
        <v>10</v>
      </c>
      <c r="E277" s="8" t="s">
        <v>17</v>
      </c>
      <c r="F277" s="8" t="s">
        <v>24</v>
      </c>
      <c r="G277" s="8">
        <v>8</v>
      </c>
      <c r="H277" s="8">
        <v>800</v>
      </c>
      <c r="I277" s="11">
        <v>0.05</v>
      </c>
    </row>
    <row r="278" spans="1:9">
      <c r="A278" s="4">
        <v>1277</v>
      </c>
      <c r="B278" s="5">
        <v>45809</v>
      </c>
      <c r="C278" s="4" t="s">
        <v>38</v>
      </c>
      <c r="D278" s="4" t="s">
        <v>10</v>
      </c>
      <c r="E278" s="4" t="s">
        <v>14</v>
      </c>
      <c r="F278" s="4" t="s">
        <v>23</v>
      </c>
      <c r="G278" s="4">
        <v>4</v>
      </c>
      <c r="H278" s="6">
        <v>42000</v>
      </c>
      <c r="I278" s="7">
        <v>0.12</v>
      </c>
    </row>
    <row r="279" spans="1:9">
      <c r="A279" s="8">
        <v>1278</v>
      </c>
      <c r="B279" s="9">
        <v>45974</v>
      </c>
      <c r="C279" s="8" t="s">
        <v>13</v>
      </c>
      <c r="D279" s="8" t="s">
        <v>10</v>
      </c>
      <c r="E279" s="8" t="s">
        <v>17</v>
      </c>
      <c r="F279" s="8" t="s">
        <v>32</v>
      </c>
      <c r="G279" s="8">
        <v>20</v>
      </c>
      <c r="H279" s="10">
        <v>1200</v>
      </c>
      <c r="I279" s="11">
        <v>0.1</v>
      </c>
    </row>
    <row r="280" spans="1:9">
      <c r="A280" s="4">
        <v>1279</v>
      </c>
      <c r="B280" s="5">
        <v>45750</v>
      </c>
      <c r="C280" s="4" t="s">
        <v>38</v>
      </c>
      <c r="D280" s="4" t="s">
        <v>10</v>
      </c>
      <c r="E280" s="4" t="s">
        <v>22</v>
      </c>
      <c r="F280" s="4" t="s">
        <v>18</v>
      </c>
      <c r="G280" s="4">
        <v>20</v>
      </c>
      <c r="H280" s="6">
        <v>42000</v>
      </c>
      <c r="I280" s="7">
        <v>0.05</v>
      </c>
    </row>
    <row r="281" spans="1:9">
      <c r="A281" s="8">
        <v>1280</v>
      </c>
      <c r="B281" s="9">
        <v>45868</v>
      </c>
      <c r="C281" s="8" t="s">
        <v>33</v>
      </c>
      <c r="D281" s="8" t="s">
        <v>10</v>
      </c>
      <c r="E281" s="8" t="s">
        <v>11</v>
      </c>
      <c r="F281" s="8" t="s">
        <v>20</v>
      </c>
      <c r="G281" s="8">
        <v>8</v>
      </c>
      <c r="H281" s="10">
        <v>2500</v>
      </c>
      <c r="I281" s="11">
        <v>0.1</v>
      </c>
    </row>
    <row r="282" spans="1:9">
      <c r="A282" s="4">
        <v>1281</v>
      </c>
      <c r="B282" s="5">
        <v>45777</v>
      </c>
      <c r="C282" s="4" t="s">
        <v>25</v>
      </c>
      <c r="D282" s="4" t="s">
        <v>26</v>
      </c>
      <c r="E282" s="4" t="s">
        <v>22</v>
      </c>
      <c r="F282" s="4" t="s">
        <v>12</v>
      </c>
      <c r="G282" s="4">
        <v>8</v>
      </c>
      <c r="H282" s="6">
        <v>11000</v>
      </c>
      <c r="I282" s="7">
        <v>0.08</v>
      </c>
    </row>
    <row r="283" spans="1:9">
      <c r="A283" s="8">
        <v>1282</v>
      </c>
      <c r="B283" s="9">
        <v>45846</v>
      </c>
      <c r="C283" s="8" t="s">
        <v>29</v>
      </c>
      <c r="D283" s="8" t="s">
        <v>30</v>
      </c>
      <c r="E283" s="8" t="s">
        <v>22</v>
      </c>
      <c r="F283" s="8" t="s">
        <v>27</v>
      </c>
      <c r="G283" s="8">
        <v>19</v>
      </c>
      <c r="H283" s="8">
        <v>250</v>
      </c>
      <c r="I283" s="11">
        <v>0.1</v>
      </c>
    </row>
    <row r="284" spans="1:9">
      <c r="A284" s="4">
        <v>1283</v>
      </c>
      <c r="B284" s="5">
        <v>45853</v>
      </c>
      <c r="C284" s="4" t="s">
        <v>25</v>
      </c>
      <c r="D284" s="4" t="s">
        <v>26</v>
      </c>
      <c r="E284" s="4" t="s">
        <v>17</v>
      </c>
      <c r="F284" s="4" t="s">
        <v>12</v>
      </c>
      <c r="G284" s="4">
        <v>17</v>
      </c>
      <c r="H284" s="6">
        <v>11000</v>
      </c>
      <c r="I284" s="7">
        <v>0.1</v>
      </c>
    </row>
    <row r="285" spans="1:9">
      <c r="A285" s="8">
        <v>1284</v>
      </c>
      <c r="B285" s="9">
        <v>45967</v>
      </c>
      <c r="C285" s="8" t="s">
        <v>13</v>
      </c>
      <c r="D285" s="8" t="s">
        <v>10</v>
      </c>
      <c r="E285" s="8" t="s">
        <v>22</v>
      </c>
      <c r="F285" s="8" t="s">
        <v>23</v>
      </c>
      <c r="G285" s="8">
        <v>9</v>
      </c>
      <c r="H285" s="10">
        <v>1200</v>
      </c>
      <c r="I285" s="11">
        <v>0</v>
      </c>
    </row>
    <row r="286" spans="1:9">
      <c r="A286" s="4">
        <v>1285</v>
      </c>
      <c r="B286" s="5">
        <v>45941</v>
      </c>
      <c r="C286" s="4" t="s">
        <v>37</v>
      </c>
      <c r="D286" s="4" t="s">
        <v>36</v>
      </c>
      <c r="E286" s="4" t="s">
        <v>14</v>
      </c>
      <c r="F286" s="4" t="s">
        <v>27</v>
      </c>
      <c r="G286" s="4">
        <v>4</v>
      </c>
      <c r="H286" s="6">
        <v>1800</v>
      </c>
      <c r="I286" s="7">
        <v>0.15</v>
      </c>
    </row>
    <row r="287" spans="1:9">
      <c r="A287" s="8">
        <v>1286</v>
      </c>
      <c r="B287" s="9">
        <v>45700</v>
      </c>
      <c r="C287" s="8" t="s">
        <v>35</v>
      </c>
      <c r="D287" s="8" t="s">
        <v>36</v>
      </c>
      <c r="E287" s="8" t="s">
        <v>22</v>
      </c>
      <c r="F287" s="8" t="s">
        <v>32</v>
      </c>
      <c r="G287" s="8">
        <v>6</v>
      </c>
      <c r="H287" s="10">
        <v>3500</v>
      </c>
      <c r="I287" s="11">
        <v>0.08</v>
      </c>
    </row>
    <row r="288" spans="1:9">
      <c r="A288" s="4">
        <v>1287</v>
      </c>
      <c r="B288" s="5">
        <v>45881</v>
      </c>
      <c r="C288" s="4" t="s">
        <v>9</v>
      </c>
      <c r="D288" s="4" t="s">
        <v>10</v>
      </c>
      <c r="E288" s="4" t="s">
        <v>11</v>
      </c>
      <c r="F288" s="4" t="s">
        <v>18</v>
      </c>
      <c r="G288" s="4">
        <v>8</v>
      </c>
      <c r="H288" s="6">
        <v>18000</v>
      </c>
      <c r="I288" s="7">
        <v>0.1</v>
      </c>
    </row>
    <row r="289" spans="1:9">
      <c r="A289" s="8">
        <v>1288</v>
      </c>
      <c r="B289" s="9">
        <v>45870</v>
      </c>
      <c r="C289" s="8" t="s">
        <v>16</v>
      </c>
      <c r="D289" s="8" t="s">
        <v>10</v>
      </c>
      <c r="E289" s="8" t="s">
        <v>11</v>
      </c>
      <c r="F289" s="8" t="s">
        <v>12</v>
      </c>
      <c r="G289" s="8">
        <v>13</v>
      </c>
      <c r="H289" s="10">
        <v>55000</v>
      </c>
      <c r="I289" s="11">
        <v>0.12</v>
      </c>
    </row>
    <row r="290" spans="1:9">
      <c r="A290" s="4">
        <v>1289</v>
      </c>
      <c r="B290" s="5">
        <v>45855</v>
      </c>
      <c r="C290" s="4" t="s">
        <v>9</v>
      </c>
      <c r="D290" s="4" t="s">
        <v>10</v>
      </c>
      <c r="E290" s="4" t="s">
        <v>14</v>
      </c>
      <c r="F290" s="4" t="s">
        <v>23</v>
      </c>
      <c r="G290" s="4">
        <v>12</v>
      </c>
      <c r="H290" s="6">
        <v>18000</v>
      </c>
      <c r="I290" s="7">
        <v>0.05</v>
      </c>
    </row>
    <row r="291" spans="1:9">
      <c r="A291" s="8">
        <v>1290</v>
      </c>
      <c r="B291" s="9">
        <v>45708</v>
      </c>
      <c r="C291" s="8" t="s">
        <v>38</v>
      </c>
      <c r="D291" s="8" t="s">
        <v>10</v>
      </c>
      <c r="E291" s="8" t="s">
        <v>17</v>
      </c>
      <c r="F291" s="8" t="s">
        <v>18</v>
      </c>
      <c r="G291" s="8">
        <v>11</v>
      </c>
      <c r="H291" s="10">
        <v>42000</v>
      </c>
      <c r="I291" s="11">
        <v>0.05</v>
      </c>
    </row>
    <row r="292" spans="1:9">
      <c r="A292" s="4">
        <v>1291</v>
      </c>
      <c r="B292" s="5">
        <v>45804</v>
      </c>
      <c r="C292" s="4" t="s">
        <v>37</v>
      </c>
      <c r="D292" s="4" t="s">
        <v>36</v>
      </c>
      <c r="E292" s="4" t="s">
        <v>17</v>
      </c>
      <c r="F292" s="4" t="s">
        <v>20</v>
      </c>
      <c r="G292" s="4">
        <v>16</v>
      </c>
      <c r="H292" s="6">
        <v>1800</v>
      </c>
      <c r="I292" s="7">
        <v>0.15</v>
      </c>
    </row>
    <row r="293" spans="1:9">
      <c r="A293" s="8">
        <v>1292</v>
      </c>
      <c r="B293" s="9">
        <v>45887</v>
      </c>
      <c r="C293" s="8" t="s">
        <v>28</v>
      </c>
      <c r="D293" s="8" t="s">
        <v>26</v>
      </c>
      <c r="E293" s="8" t="s">
        <v>14</v>
      </c>
      <c r="F293" s="8" t="s">
        <v>27</v>
      </c>
      <c r="G293" s="8">
        <v>1</v>
      </c>
      <c r="H293" s="10">
        <v>9000</v>
      </c>
      <c r="I293" s="11">
        <v>0</v>
      </c>
    </row>
    <row r="294" spans="1:9">
      <c r="A294" s="4">
        <v>1293</v>
      </c>
      <c r="B294" s="5">
        <v>45768</v>
      </c>
      <c r="C294" s="4" t="s">
        <v>38</v>
      </c>
      <c r="D294" s="4" t="s">
        <v>10</v>
      </c>
      <c r="E294" s="4" t="s">
        <v>22</v>
      </c>
      <c r="F294" s="4" t="s">
        <v>24</v>
      </c>
      <c r="G294" s="4">
        <v>5</v>
      </c>
      <c r="H294" s="6">
        <v>42000</v>
      </c>
      <c r="I294" s="7">
        <v>0.12</v>
      </c>
    </row>
    <row r="295" spans="1:9">
      <c r="A295" s="8">
        <v>1294</v>
      </c>
      <c r="B295" s="9">
        <v>45805</v>
      </c>
      <c r="C295" s="8" t="s">
        <v>19</v>
      </c>
      <c r="D295" s="8" t="s">
        <v>10</v>
      </c>
      <c r="E295" s="8" t="s">
        <v>14</v>
      </c>
      <c r="F295" s="8" t="s">
        <v>12</v>
      </c>
      <c r="G295" s="8">
        <v>10</v>
      </c>
      <c r="H295" s="8">
        <v>800</v>
      </c>
      <c r="I295" s="11">
        <v>0</v>
      </c>
    </row>
    <row r="296" spans="1:9">
      <c r="A296" s="4">
        <v>1295</v>
      </c>
      <c r="B296" s="5">
        <v>45872</v>
      </c>
      <c r="C296" s="4" t="s">
        <v>29</v>
      </c>
      <c r="D296" s="4" t="s">
        <v>30</v>
      </c>
      <c r="E296" s="4" t="s">
        <v>14</v>
      </c>
      <c r="F296" s="4" t="s">
        <v>24</v>
      </c>
      <c r="G296" s="4">
        <v>20</v>
      </c>
      <c r="H296" s="4">
        <v>250</v>
      </c>
      <c r="I296" s="7">
        <v>0.1</v>
      </c>
    </row>
    <row r="297" spans="1:9">
      <c r="A297" s="8">
        <v>1296</v>
      </c>
      <c r="B297" s="9">
        <v>45913</v>
      </c>
      <c r="C297" s="8" t="s">
        <v>28</v>
      </c>
      <c r="D297" s="8" t="s">
        <v>26</v>
      </c>
      <c r="E297" s="8" t="s">
        <v>17</v>
      </c>
      <c r="F297" s="8" t="s">
        <v>32</v>
      </c>
      <c r="G297" s="8">
        <v>18</v>
      </c>
      <c r="H297" s="10">
        <v>9000</v>
      </c>
      <c r="I297" s="11">
        <v>0</v>
      </c>
    </row>
    <row r="298" spans="1:9">
      <c r="A298" s="4">
        <v>1297</v>
      </c>
      <c r="B298" s="5">
        <v>45807</v>
      </c>
      <c r="C298" s="4" t="s">
        <v>31</v>
      </c>
      <c r="D298" s="4" t="s">
        <v>26</v>
      </c>
      <c r="E298" s="4" t="s">
        <v>11</v>
      </c>
      <c r="F298" s="4" t="s">
        <v>12</v>
      </c>
      <c r="G298" s="4">
        <v>1</v>
      </c>
      <c r="H298" s="6">
        <v>8500</v>
      </c>
      <c r="I298" s="7">
        <v>0.12</v>
      </c>
    </row>
    <row r="299" spans="1:9">
      <c r="A299" s="8">
        <v>1298</v>
      </c>
      <c r="B299" s="9">
        <v>45950</v>
      </c>
      <c r="C299" s="8" t="s">
        <v>31</v>
      </c>
      <c r="D299" s="8" t="s">
        <v>26</v>
      </c>
      <c r="E299" s="8" t="s">
        <v>14</v>
      </c>
      <c r="F299" s="8" t="s">
        <v>23</v>
      </c>
      <c r="G299" s="8">
        <v>6</v>
      </c>
      <c r="H299" s="10">
        <v>8500</v>
      </c>
      <c r="I299" s="11">
        <v>0.15</v>
      </c>
    </row>
    <row r="300" spans="1:9">
      <c r="A300" s="4">
        <v>1299</v>
      </c>
      <c r="B300" s="5">
        <v>45692</v>
      </c>
      <c r="C300" s="4" t="s">
        <v>25</v>
      </c>
      <c r="D300" s="4" t="s">
        <v>26</v>
      </c>
      <c r="E300" s="4" t="s">
        <v>14</v>
      </c>
      <c r="F300" s="4" t="s">
        <v>15</v>
      </c>
      <c r="G300" s="4">
        <v>18</v>
      </c>
      <c r="H300" s="6">
        <v>11000</v>
      </c>
      <c r="I300" s="7">
        <v>0.12</v>
      </c>
    </row>
    <row r="301" spans="1:9" ht="25.5">
      <c r="A301" s="8">
        <v>1300</v>
      </c>
      <c r="B301" s="9">
        <v>45898</v>
      </c>
      <c r="C301" s="8" t="s">
        <v>16</v>
      </c>
      <c r="D301" s="8" t="s">
        <v>10</v>
      </c>
      <c r="E301" s="8" t="s">
        <v>11</v>
      </c>
      <c r="F301" s="3" t="s">
        <v>42</v>
      </c>
      <c r="G301" s="8">
        <v>13</v>
      </c>
      <c r="H301" s="10">
        <v>55000</v>
      </c>
      <c r="I301" s="11">
        <v>0.08</v>
      </c>
    </row>
    <row r="302" spans="1:9">
      <c r="A302" s="4">
        <v>1301</v>
      </c>
      <c r="B302" s="5">
        <v>45840</v>
      </c>
      <c r="C302" s="4" t="s">
        <v>35</v>
      </c>
      <c r="D302" s="4" t="s">
        <v>36</v>
      </c>
      <c r="E302" s="4" t="s">
        <v>17</v>
      </c>
      <c r="F302" s="4" t="s">
        <v>24</v>
      </c>
      <c r="G302" s="4">
        <v>3</v>
      </c>
      <c r="H302" s="6">
        <v>3500</v>
      </c>
      <c r="I302" s="7">
        <v>0.08</v>
      </c>
    </row>
    <row r="303" spans="1:9">
      <c r="A303" s="8">
        <v>1302</v>
      </c>
      <c r="B303" s="9">
        <v>45955</v>
      </c>
      <c r="C303" s="8" t="s">
        <v>39</v>
      </c>
      <c r="D303" s="8" t="s">
        <v>30</v>
      </c>
      <c r="E303" s="8" t="s">
        <v>14</v>
      </c>
      <c r="F303" s="8" t="s">
        <v>23</v>
      </c>
      <c r="G303" s="8">
        <v>11</v>
      </c>
      <c r="H303" s="8">
        <v>180</v>
      </c>
      <c r="I303" s="11">
        <v>0.05</v>
      </c>
    </row>
    <row r="304" spans="1:9">
      <c r="A304" s="4">
        <v>1303</v>
      </c>
      <c r="B304" s="5">
        <v>45937</v>
      </c>
      <c r="C304" s="4" t="s">
        <v>33</v>
      </c>
      <c r="D304" s="4" t="s">
        <v>10</v>
      </c>
      <c r="E304" s="4" t="s">
        <v>22</v>
      </c>
      <c r="F304" s="4" t="s">
        <v>20</v>
      </c>
      <c r="G304" s="4">
        <v>6</v>
      </c>
      <c r="H304" s="6">
        <v>2500</v>
      </c>
      <c r="I304" s="7">
        <v>0.15</v>
      </c>
    </row>
    <row r="305" spans="1:9">
      <c r="A305" s="8">
        <v>1304</v>
      </c>
      <c r="B305" s="9">
        <v>45981</v>
      </c>
      <c r="C305" s="8" t="s">
        <v>13</v>
      </c>
      <c r="D305" s="8" t="s">
        <v>10</v>
      </c>
      <c r="E305" s="8" t="s">
        <v>22</v>
      </c>
      <c r="F305" s="8" t="s">
        <v>18</v>
      </c>
      <c r="G305" s="8">
        <v>5</v>
      </c>
      <c r="H305" s="10">
        <v>1200</v>
      </c>
      <c r="I305" s="11">
        <v>0</v>
      </c>
    </row>
    <row r="306" spans="1:9">
      <c r="A306" s="4">
        <v>1305</v>
      </c>
      <c r="B306" s="5">
        <v>45808</v>
      </c>
      <c r="C306" s="4" t="s">
        <v>19</v>
      </c>
      <c r="D306" s="4" t="s">
        <v>10</v>
      </c>
      <c r="E306" s="4" t="s">
        <v>14</v>
      </c>
      <c r="F306" s="4" t="s">
        <v>23</v>
      </c>
      <c r="G306" s="4">
        <v>2</v>
      </c>
      <c r="H306" s="4">
        <v>800</v>
      </c>
      <c r="I306" s="7">
        <v>0.05</v>
      </c>
    </row>
    <row r="307" spans="1:9">
      <c r="A307" s="8">
        <v>1306</v>
      </c>
      <c r="B307" s="9">
        <v>45816</v>
      </c>
      <c r="C307" s="8" t="s">
        <v>25</v>
      </c>
      <c r="D307" s="8" t="s">
        <v>26</v>
      </c>
      <c r="E307" s="8" t="s">
        <v>22</v>
      </c>
      <c r="F307" s="8" t="s">
        <v>27</v>
      </c>
      <c r="G307" s="8">
        <v>13</v>
      </c>
      <c r="H307" s="10">
        <v>11000</v>
      </c>
      <c r="I307" s="11">
        <v>0.12</v>
      </c>
    </row>
    <row r="308" spans="1:9">
      <c r="A308" s="4">
        <v>1307</v>
      </c>
      <c r="B308" s="5">
        <v>45676</v>
      </c>
      <c r="C308" s="4" t="s">
        <v>35</v>
      </c>
      <c r="D308" s="4" t="s">
        <v>36</v>
      </c>
      <c r="E308" s="4" t="s">
        <v>11</v>
      </c>
      <c r="F308" s="4" t="s">
        <v>18</v>
      </c>
      <c r="G308" s="4">
        <v>7</v>
      </c>
      <c r="H308" s="6">
        <v>3500</v>
      </c>
      <c r="I308" s="7">
        <v>0.08</v>
      </c>
    </row>
    <row r="309" spans="1:9">
      <c r="A309" s="8">
        <v>1308</v>
      </c>
      <c r="B309" s="9">
        <v>45993</v>
      </c>
      <c r="C309" s="8" t="s">
        <v>33</v>
      </c>
      <c r="D309" s="8" t="s">
        <v>10</v>
      </c>
      <c r="E309" s="8" t="s">
        <v>11</v>
      </c>
      <c r="F309" s="8" t="s">
        <v>15</v>
      </c>
      <c r="G309" s="8">
        <v>9</v>
      </c>
      <c r="H309" s="10">
        <v>2500</v>
      </c>
      <c r="I309" s="11">
        <v>0</v>
      </c>
    </row>
    <row r="310" spans="1:9">
      <c r="A310" s="4">
        <v>1309</v>
      </c>
      <c r="B310" s="5">
        <v>45862</v>
      </c>
      <c r="C310" s="4" t="s">
        <v>39</v>
      </c>
      <c r="D310" s="4" t="s">
        <v>30</v>
      </c>
      <c r="E310" s="4" t="s">
        <v>11</v>
      </c>
      <c r="F310" s="4" t="s">
        <v>32</v>
      </c>
      <c r="G310" s="4">
        <v>15</v>
      </c>
      <c r="H310" s="4">
        <v>180</v>
      </c>
      <c r="I310" s="7">
        <v>0.1</v>
      </c>
    </row>
    <row r="311" spans="1:9">
      <c r="A311" s="8">
        <v>1310</v>
      </c>
      <c r="B311" s="9">
        <v>45912</v>
      </c>
      <c r="C311" s="8" t="s">
        <v>39</v>
      </c>
      <c r="D311" s="8" t="s">
        <v>30</v>
      </c>
      <c r="E311" s="8" t="s">
        <v>11</v>
      </c>
      <c r="F311" s="8" t="s">
        <v>24</v>
      </c>
      <c r="G311" s="8">
        <v>16</v>
      </c>
      <c r="H311" s="8">
        <v>180</v>
      </c>
      <c r="I311" s="11">
        <v>0.08</v>
      </c>
    </row>
    <row r="312" spans="1:9">
      <c r="A312" s="4">
        <v>1311</v>
      </c>
      <c r="B312" s="5">
        <v>45875</v>
      </c>
      <c r="C312" s="4" t="s">
        <v>9</v>
      </c>
      <c r="D312" s="4" t="s">
        <v>10</v>
      </c>
      <c r="E312" s="4" t="s">
        <v>17</v>
      </c>
      <c r="F312" s="4" t="s">
        <v>27</v>
      </c>
      <c r="G312" s="4">
        <v>14</v>
      </c>
      <c r="H312" s="6">
        <v>18000</v>
      </c>
      <c r="I312" s="7">
        <v>0.12</v>
      </c>
    </row>
    <row r="313" spans="1:9">
      <c r="A313" s="8">
        <v>1312</v>
      </c>
      <c r="B313" s="9">
        <v>45822</v>
      </c>
      <c r="C313" s="8" t="s">
        <v>9</v>
      </c>
      <c r="D313" s="8" t="s">
        <v>10</v>
      </c>
      <c r="E313" s="8" t="s">
        <v>11</v>
      </c>
      <c r="F313" s="8" t="s">
        <v>27</v>
      </c>
      <c r="G313" s="8">
        <v>3</v>
      </c>
      <c r="H313" s="10">
        <v>18000</v>
      </c>
      <c r="I313" s="11">
        <v>0.08</v>
      </c>
    </row>
    <row r="314" spans="1:9">
      <c r="A314" s="4">
        <v>1313</v>
      </c>
      <c r="B314" s="5">
        <v>45886</v>
      </c>
      <c r="C314" s="4" t="s">
        <v>28</v>
      </c>
      <c r="D314" s="4" t="s">
        <v>26</v>
      </c>
      <c r="E314" s="4" t="s">
        <v>22</v>
      </c>
      <c r="F314" s="4" t="s">
        <v>23</v>
      </c>
      <c r="G314" s="4">
        <v>14</v>
      </c>
      <c r="H314" s="6">
        <v>9000</v>
      </c>
      <c r="I314" s="7">
        <v>0.05</v>
      </c>
    </row>
    <row r="315" spans="1:9">
      <c r="A315" s="8">
        <v>1314</v>
      </c>
      <c r="B315" s="9">
        <v>45886</v>
      </c>
      <c r="C315" s="8" t="s">
        <v>16</v>
      </c>
      <c r="D315" s="8" t="s">
        <v>10</v>
      </c>
      <c r="E315" s="8" t="s">
        <v>22</v>
      </c>
      <c r="F315" s="8" t="s">
        <v>27</v>
      </c>
      <c r="G315" s="8">
        <v>12</v>
      </c>
      <c r="H315" s="10">
        <v>55000</v>
      </c>
      <c r="I315" s="11">
        <v>0.12</v>
      </c>
    </row>
    <row r="316" spans="1:9">
      <c r="A316" s="4">
        <v>1315</v>
      </c>
      <c r="B316" s="5">
        <v>45985</v>
      </c>
      <c r="C316" s="4" t="s">
        <v>35</v>
      </c>
      <c r="D316" s="4" t="s">
        <v>36</v>
      </c>
      <c r="E316" s="4" t="s">
        <v>22</v>
      </c>
      <c r="F316" s="4" t="s">
        <v>23</v>
      </c>
      <c r="G316" s="4">
        <v>2</v>
      </c>
      <c r="H316" s="6">
        <v>3500</v>
      </c>
      <c r="I316" s="7">
        <v>0</v>
      </c>
    </row>
    <row r="317" spans="1:9">
      <c r="A317" s="8">
        <v>1316</v>
      </c>
      <c r="B317" s="9">
        <v>45920</v>
      </c>
      <c r="C317" s="8" t="s">
        <v>35</v>
      </c>
      <c r="D317" s="8" t="s">
        <v>36</v>
      </c>
      <c r="E317" s="8" t="s">
        <v>17</v>
      </c>
      <c r="F317" s="8" t="s">
        <v>20</v>
      </c>
      <c r="G317" s="8">
        <v>6</v>
      </c>
      <c r="H317" s="10">
        <v>3500</v>
      </c>
      <c r="I317" s="11">
        <v>0</v>
      </c>
    </row>
    <row r="318" spans="1:9">
      <c r="A318" s="4">
        <v>1317</v>
      </c>
      <c r="B318" s="5">
        <v>45675</v>
      </c>
      <c r="C318" s="4" t="s">
        <v>13</v>
      </c>
      <c r="D318" s="4" t="s">
        <v>10</v>
      </c>
      <c r="E318" s="4" t="s">
        <v>11</v>
      </c>
      <c r="F318" s="4" t="s">
        <v>23</v>
      </c>
      <c r="G318" s="4">
        <v>3</v>
      </c>
      <c r="H318" s="6">
        <v>1200</v>
      </c>
      <c r="I318" s="7">
        <v>0.05</v>
      </c>
    </row>
    <row r="319" spans="1:9">
      <c r="A319" s="8">
        <v>1318</v>
      </c>
      <c r="B319" s="9">
        <v>45854</v>
      </c>
      <c r="C319" s="8" t="s">
        <v>28</v>
      </c>
      <c r="D319" s="8" t="s">
        <v>26</v>
      </c>
      <c r="E319" s="8" t="s">
        <v>17</v>
      </c>
      <c r="F319" s="8" t="s">
        <v>20</v>
      </c>
      <c r="G319" s="8">
        <v>2</v>
      </c>
      <c r="H319" s="10">
        <v>9000</v>
      </c>
      <c r="I319" s="11">
        <v>0.12</v>
      </c>
    </row>
    <row r="320" spans="1:9">
      <c r="A320" s="4">
        <v>1319</v>
      </c>
      <c r="B320" s="5">
        <v>45847</v>
      </c>
      <c r="C320" s="4" t="s">
        <v>33</v>
      </c>
      <c r="D320" s="4" t="s">
        <v>10</v>
      </c>
      <c r="E320" s="4" t="s">
        <v>17</v>
      </c>
      <c r="F320" s="4" t="s">
        <v>23</v>
      </c>
      <c r="G320" s="4">
        <v>15</v>
      </c>
      <c r="H320" s="6">
        <v>2500</v>
      </c>
      <c r="I320" s="7">
        <v>0</v>
      </c>
    </row>
    <row r="321" spans="1:9">
      <c r="A321" s="8">
        <v>1320</v>
      </c>
      <c r="B321" s="9">
        <v>45861</v>
      </c>
      <c r="C321" s="8" t="s">
        <v>33</v>
      </c>
      <c r="D321" s="8" t="s">
        <v>10</v>
      </c>
      <c r="E321" s="8" t="s">
        <v>14</v>
      </c>
      <c r="F321" s="8" t="s">
        <v>18</v>
      </c>
      <c r="G321" s="8">
        <v>9</v>
      </c>
      <c r="H321" s="10">
        <v>2500</v>
      </c>
      <c r="I321" s="11">
        <v>0.05</v>
      </c>
    </row>
    <row r="322" spans="1:9">
      <c r="A322" s="4">
        <v>1321</v>
      </c>
      <c r="B322" s="5">
        <v>45753</v>
      </c>
      <c r="C322" s="4" t="s">
        <v>34</v>
      </c>
      <c r="D322" s="4" t="s">
        <v>26</v>
      </c>
      <c r="E322" s="4" t="s">
        <v>14</v>
      </c>
      <c r="F322" s="4" t="s">
        <v>27</v>
      </c>
      <c r="G322" s="4">
        <v>17</v>
      </c>
      <c r="H322" s="6">
        <v>15000</v>
      </c>
      <c r="I322" s="7">
        <v>0.1</v>
      </c>
    </row>
    <row r="323" spans="1:9">
      <c r="A323" s="8">
        <v>1322</v>
      </c>
      <c r="B323" s="9">
        <v>45791</v>
      </c>
      <c r="C323" s="8" t="s">
        <v>39</v>
      </c>
      <c r="D323" s="8" t="s">
        <v>30</v>
      </c>
      <c r="E323" s="8" t="s">
        <v>11</v>
      </c>
      <c r="F323" s="8" t="s">
        <v>20</v>
      </c>
      <c r="G323" s="8">
        <v>15</v>
      </c>
      <c r="H323" s="8">
        <v>180</v>
      </c>
      <c r="I323" s="11">
        <v>0.05</v>
      </c>
    </row>
    <row r="324" spans="1:9">
      <c r="A324" s="4">
        <v>1323</v>
      </c>
      <c r="B324" s="5">
        <v>45760</v>
      </c>
      <c r="C324" s="4" t="s">
        <v>9</v>
      </c>
      <c r="D324" s="4" t="s">
        <v>10</v>
      </c>
      <c r="E324" s="4" t="s">
        <v>22</v>
      </c>
      <c r="F324" s="4" t="s">
        <v>32</v>
      </c>
      <c r="G324" s="4">
        <v>5</v>
      </c>
      <c r="H324" s="6">
        <v>18000</v>
      </c>
      <c r="I324" s="7">
        <v>0</v>
      </c>
    </row>
    <row r="325" spans="1:9">
      <c r="A325" s="8">
        <v>1324</v>
      </c>
      <c r="B325" s="9">
        <v>45885</v>
      </c>
      <c r="C325" s="8" t="s">
        <v>9</v>
      </c>
      <c r="D325" s="8" t="s">
        <v>10</v>
      </c>
      <c r="E325" s="8" t="s">
        <v>11</v>
      </c>
      <c r="F325" s="8" t="s">
        <v>24</v>
      </c>
      <c r="G325" s="8">
        <v>11</v>
      </c>
      <c r="H325" s="10">
        <v>18000</v>
      </c>
      <c r="I325" s="11">
        <v>0.15</v>
      </c>
    </row>
    <row r="326" spans="1:9">
      <c r="A326" s="4">
        <v>1325</v>
      </c>
      <c r="B326" s="5">
        <v>45939</v>
      </c>
      <c r="C326" s="4" t="s">
        <v>25</v>
      </c>
      <c r="D326" s="4" t="s">
        <v>26</v>
      </c>
      <c r="E326" s="4" t="s">
        <v>17</v>
      </c>
      <c r="F326" s="4" t="s">
        <v>32</v>
      </c>
      <c r="G326" s="4">
        <v>10</v>
      </c>
      <c r="H326" s="6">
        <v>11000</v>
      </c>
      <c r="I326" s="7">
        <v>0.08</v>
      </c>
    </row>
    <row r="327" spans="1:9">
      <c r="A327" s="8">
        <v>1326</v>
      </c>
      <c r="B327" s="9">
        <v>45843</v>
      </c>
      <c r="C327" s="8" t="s">
        <v>25</v>
      </c>
      <c r="D327" s="8" t="s">
        <v>26</v>
      </c>
      <c r="E327" s="8" t="s">
        <v>17</v>
      </c>
      <c r="F327" s="8" t="s">
        <v>32</v>
      </c>
      <c r="G327" s="8">
        <v>8</v>
      </c>
      <c r="H327" s="10">
        <v>11000</v>
      </c>
      <c r="I327" s="11">
        <v>0</v>
      </c>
    </row>
    <row r="328" spans="1:9">
      <c r="A328" s="4">
        <v>1327</v>
      </c>
      <c r="B328" s="5">
        <v>45779</v>
      </c>
      <c r="C328" s="4" t="s">
        <v>35</v>
      </c>
      <c r="D328" s="4" t="s">
        <v>36</v>
      </c>
      <c r="E328" s="4" t="s">
        <v>11</v>
      </c>
      <c r="F328" s="4" t="s">
        <v>23</v>
      </c>
      <c r="G328" s="4">
        <v>16</v>
      </c>
      <c r="H328" s="6">
        <v>3500</v>
      </c>
      <c r="I328" s="7">
        <v>0</v>
      </c>
    </row>
    <row r="329" spans="1:9">
      <c r="A329" s="8">
        <v>1328</v>
      </c>
      <c r="B329" s="9">
        <v>45897</v>
      </c>
      <c r="C329" s="8" t="s">
        <v>35</v>
      </c>
      <c r="D329" s="8" t="s">
        <v>36</v>
      </c>
      <c r="E329" s="8" t="s">
        <v>14</v>
      </c>
      <c r="F329" s="8" t="s">
        <v>24</v>
      </c>
      <c r="G329" s="8">
        <v>18</v>
      </c>
      <c r="H329" s="10">
        <v>3500</v>
      </c>
      <c r="I329" s="11">
        <v>0.05</v>
      </c>
    </row>
    <row r="330" spans="1:9">
      <c r="A330" s="4">
        <v>1329</v>
      </c>
      <c r="B330" s="5">
        <v>45816</v>
      </c>
      <c r="C330" s="4" t="s">
        <v>31</v>
      </c>
      <c r="D330" s="4" t="s">
        <v>26</v>
      </c>
      <c r="E330" s="4" t="s">
        <v>22</v>
      </c>
      <c r="F330" s="4" t="s">
        <v>15</v>
      </c>
      <c r="G330" s="4">
        <v>16</v>
      </c>
      <c r="H330" s="6">
        <v>8500</v>
      </c>
      <c r="I330" s="7">
        <v>0.12</v>
      </c>
    </row>
    <row r="331" spans="1:9">
      <c r="A331" s="8">
        <v>1330</v>
      </c>
      <c r="B331" s="9">
        <v>45952</v>
      </c>
      <c r="C331" s="8" t="s">
        <v>9</v>
      </c>
      <c r="D331" s="8" t="s">
        <v>10</v>
      </c>
      <c r="E331" s="8" t="s">
        <v>14</v>
      </c>
      <c r="F331" s="8" t="s">
        <v>20</v>
      </c>
      <c r="G331" s="8">
        <v>5</v>
      </c>
      <c r="H331" s="10">
        <v>18000</v>
      </c>
      <c r="I331" s="11">
        <v>0.08</v>
      </c>
    </row>
    <row r="332" spans="1:9">
      <c r="A332" s="4">
        <v>1331</v>
      </c>
      <c r="B332" s="5">
        <v>45896</v>
      </c>
      <c r="C332" s="4" t="s">
        <v>29</v>
      </c>
      <c r="D332" s="4" t="s">
        <v>30</v>
      </c>
      <c r="E332" s="4" t="s">
        <v>17</v>
      </c>
      <c r="F332" s="4" t="s">
        <v>32</v>
      </c>
      <c r="G332" s="4">
        <v>17</v>
      </c>
      <c r="H332" s="4">
        <v>250</v>
      </c>
      <c r="I332" s="7">
        <v>0.08</v>
      </c>
    </row>
    <row r="333" spans="1:9">
      <c r="A333" s="8">
        <v>1332</v>
      </c>
      <c r="B333" s="9">
        <v>45724</v>
      </c>
      <c r="C333" s="8" t="s">
        <v>31</v>
      </c>
      <c r="D333" s="8" t="s">
        <v>26</v>
      </c>
      <c r="E333" s="8" t="s">
        <v>14</v>
      </c>
      <c r="F333" s="8" t="s">
        <v>32</v>
      </c>
      <c r="G333" s="8">
        <v>17</v>
      </c>
      <c r="H333" s="10">
        <v>8500</v>
      </c>
      <c r="I333" s="11">
        <v>0</v>
      </c>
    </row>
    <row r="334" spans="1:9">
      <c r="A334" s="4">
        <v>1333</v>
      </c>
      <c r="B334" s="5">
        <v>45813</v>
      </c>
      <c r="C334" s="4" t="s">
        <v>13</v>
      </c>
      <c r="D334" s="4" t="s">
        <v>10</v>
      </c>
      <c r="E334" s="4" t="s">
        <v>17</v>
      </c>
      <c r="F334" s="4" t="s">
        <v>23</v>
      </c>
      <c r="G334" s="4">
        <v>6</v>
      </c>
      <c r="H334" s="6">
        <v>1200</v>
      </c>
      <c r="I334" s="7">
        <v>0.08</v>
      </c>
    </row>
    <row r="335" spans="1:9">
      <c r="A335" s="8">
        <v>1334</v>
      </c>
      <c r="B335" s="9">
        <v>45923</v>
      </c>
      <c r="C335" s="8" t="s">
        <v>37</v>
      </c>
      <c r="D335" s="8" t="s">
        <v>36</v>
      </c>
      <c r="E335" s="8" t="s">
        <v>11</v>
      </c>
      <c r="F335" s="8" t="s">
        <v>12</v>
      </c>
      <c r="G335" s="8">
        <v>10</v>
      </c>
      <c r="H335" s="10">
        <v>1800</v>
      </c>
      <c r="I335" s="11">
        <v>0</v>
      </c>
    </row>
    <row r="336" spans="1:9">
      <c r="A336" s="4">
        <v>1335</v>
      </c>
      <c r="B336" s="5">
        <v>45983</v>
      </c>
      <c r="C336" s="4" t="s">
        <v>25</v>
      </c>
      <c r="D336" s="4" t="s">
        <v>26</v>
      </c>
      <c r="E336" s="4" t="s">
        <v>11</v>
      </c>
      <c r="F336" s="4" t="s">
        <v>24</v>
      </c>
      <c r="G336" s="4">
        <v>9</v>
      </c>
      <c r="H336" s="6">
        <v>11000</v>
      </c>
      <c r="I336" s="7">
        <v>0.05</v>
      </c>
    </row>
    <row r="337" spans="1:9">
      <c r="A337" s="8">
        <v>1336</v>
      </c>
      <c r="B337" s="9">
        <v>45915</v>
      </c>
      <c r="C337" s="8" t="s">
        <v>29</v>
      </c>
      <c r="D337" s="8" t="s">
        <v>30</v>
      </c>
      <c r="E337" s="8" t="s">
        <v>17</v>
      </c>
      <c r="F337" s="8" t="s">
        <v>32</v>
      </c>
      <c r="G337" s="8">
        <v>6</v>
      </c>
      <c r="H337" s="8">
        <v>250</v>
      </c>
      <c r="I337" s="11">
        <v>0.12</v>
      </c>
    </row>
    <row r="338" spans="1:9">
      <c r="A338" s="4">
        <v>1337</v>
      </c>
      <c r="B338" s="5">
        <v>45995</v>
      </c>
      <c r="C338" s="4" t="s">
        <v>28</v>
      </c>
      <c r="D338" s="4" t="s">
        <v>26</v>
      </c>
      <c r="E338" s="4" t="s">
        <v>14</v>
      </c>
      <c r="F338" s="4" t="s">
        <v>18</v>
      </c>
      <c r="G338" s="4">
        <v>20</v>
      </c>
      <c r="H338" s="6">
        <v>9000</v>
      </c>
      <c r="I338" s="7">
        <v>0.08</v>
      </c>
    </row>
    <row r="339" spans="1:9">
      <c r="A339" s="8">
        <v>1338</v>
      </c>
      <c r="B339" s="9">
        <v>45699</v>
      </c>
      <c r="C339" s="8" t="s">
        <v>16</v>
      </c>
      <c r="D339" s="8" t="s">
        <v>10</v>
      </c>
      <c r="E339" s="8" t="s">
        <v>17</v>
      </c>
      <c r="F339" s="8" t="s">
        <v>15</v>
      </c>
      <c r="G339" s="8">
        <v>19</v>
      </c>
      <c r="H339" s="10">
        <v>55000</v>
      </c>
      <c r="I339" s="11">
        <v>0.08</v>
      </c>
    </row>
    <row r="340" spans="1:9">
      <c r="A340" s="4">
        <v>1339</v>
      </c>
      <c r="B340" s="5">
        <v>45974</v>
      </c>
      <c r="C340" s="4" t="s">
        <v>29</v>
      </c>
      <c r="D340" s="4" t="s">
        <v>30</v>
      </c>
      <c r="E340" s="4" t="s">
        <v>11</v>
      </c>
      <c r="F340" s="4" t="s">
        <v>27</v>
      </c>
      <c r="G340" s="4">
        <v>1</v>
      </c>
      <c r="H340" s="4">
        <v>250</v>
      </c>
      <c r="I340" s="7">
        <v>0.1</v>
      </c>
    </row>
    <row r="341" spans="1:9">
      <c r="A341" s="8">
        <v>1340</v>
      </c>
      <c r="B341" s="9">
        <v>45905</v>
      </c>
      <c r="C341" s="8" t="s">
        <v>19</v>
      </c>
      <c r="D341" s="8" t="s">
        <v>10</v>
      </c>
      <c r="E341" s="8" t="s">
        <v>22</v>
      </c>
      <c r="F341" s="8" t="s">
        <v>24</v>
      </c>
      <c r="G341" s="8">
        <v>13</v>
      </c>
      <c r="H341" s="8">
        <v>800</v>
      </c>
      <c r="I341" s="11">
        <v>0.08</v>
      </c>
    </row>
    <row r="342" spans="1:9">
      <c r="A342" s="4">
        <v>1341</v>
      </c>
      <c r="B342" s="5">
        <v>46010</v>
      </c>
      <c r="C342" s="4" t="s">
        <v>16</v>
      </c>
      <c r="D342" s="4" t="s">
        <v>10</v>
      </c>
      <c r="E342" s="4" t="s">
        <v>22</v>
      </c>
      <c r="F342" s="4" t="s">
        <v>20</v>
      </c>
      <c r="G342" s="4">
        <v>6</v>
      </c>
      <c r="H342" s="6">
        <v>55000</v>
      </c>
      <c r="I342" s="7">
        <v>0.1</v>
      </c>
    </row>
    <row r="343" spans="1:9">
      <c r="A343" s="8">
        <v>1342</v>
      </c>
      <c r="B343" s="9">
        <v>45895</v>
      </c>
      <c r="C343" s="8" t="s">
        <v>19</v>
      </c>
      <c r="D343" s="8" t="s">
        <v>10</v>
      </c>
      <c r="E343" s="8" t="s">
        <v>17</v>
      </c>
      <c r="F343" s="8" t="s">
        <v>23</v>
      </c>
      <c r="G343" s="8">
        <v>11</v>
      </c>
      <c r="H343" s="8">
        <v>800</v>
      </c>
      <c r="I343" s="11">
        <v>0.12</v>
      </c>
    </row>
    <row r="344" spans="1:9">
      <c r="A344" s="4">
        <v>1343</v>
      </c>
      <c r="B344" s="5">
        <v>45821</v>
      </c>
      <c r="C344" s="4" t="s">
        <v>39</v>
      </c>
      <c r="D344" s="4" t="s">
        <v>30</v>
      </c>
      <c r="E344" s="4" t="s">
        <v>17</v>
      </c>
      <c r="F344" s="4" t="s">
        <v>23</v>
      </c>
      <c r="G344" s="4">
        <v>12</v>
      </c>
      <c r="H344" s="4">
        <v>180</v>
      </c>
      <c r="I344" s="7">
        <v>0.1</v>
      </c>
    </row>
    <row r="345" spans="1:9">
      <c r="A345" s="8">
        <v>1344</v>
      </c>
      <c r="B345" s="9">
        <v>45921</v>
      </c>
      <c r="C345" s="8" t="s">
        <v>25</v>
      </c>
      <c r="D345" s="8" t="s">
        <v>26</v>
      </c>
      <c r="E345" s="8" t="s">
        <v>17</v>
      </c>
      <c r="F345" s="8" t="s">
        <v>20</v>
      </c>
      <c r="G345" s="8">
        <v>4</v>
      </c>
      <c r="H345" s="10">
        <v>11000</v>
      </c>
      <c r="I345" s="11">
        <v>0.08</v>
      </c>
    </row>
    <row r="346" spans="1:9">
      <c r="A346" s="4">
        <v>1345</v>
      </c>
      <c r="B346" s="5">
        <v>45720</v>
      </c>
      <c r="C346" s="4" t="s">
        <v>21</v>
      </c>
      <c r="D346" s="4" t="s">
        <v>10</v>
      </c>
      <c r="E346" s="4" t="s">
        <v>17</v>
      </c>
      <c r="F346" s="4" t="s">
        <v>24</v>
      </c>
      <c r="G346" s="4">
        <v>15</v>
      </c>
      <c r="H346" s="6">
        <v>14000</v>
      </c>
      <c r="I346" s="7">
        <v>0.05</v>
      </c>
    </row>
    <row r="347" spans="1:9">
      <c r="A347" s="8">
        <v>1346</v>
      </c>
      <c r="B347" s="9">
        <v>45683</v>
      </c>
      <c r="C347" s="8" t="s">
        <v>21</v>
      </c>
      <c r="D347" s="8" t="s">
        <v>10</v>
      </c>
      <c r="E347" s="8" t="s">
        <v>22</v>
      </c>
      <c r="F347" s="8" t="s">
        <v>12</v>
      </c>
      <c r="G347" s="8">
        <v>13</v>
      </c>
      <c r="H347" s="10">
        <v>14000</v>
      </c>
      <c r="I347" s="11">
        <v>0.12</v>
      </c>
    </row>
    <row r="348" spans="1:9">
      <c r="A348" s="4">
        <v>1347</v>
      </c>
      <c r="B348" s="5">
        <v>45739</v>
      </c>
      <c r="C348" s="4" t="s">
        <v>38</v>
      </c>
      <c r="D348" s="4" t="s">
        <v>10</v>
      </c>
      <c r="E348" s="4" t="s">
        <v>11</v>
      </c>
      <c r="F348" s="4" t="s">
        <v>12</v>
      </c>
      <c r="G348" s="4">
        <v>11</v>
      </c>
      <c r="H348" s="6">
        <v>42000</v>
      </c>
      <c r="I348" s="7">
        <v>0.12</v>
      </c>
    </row>
    <row r="349" spans="1:9">
      <c r="A349" s="8">
        <v>1348</v>
      </c>
      <c r="B349" s="9">
        <v>45739</v>
      </c>
      <c r="C349" s="8" t="s">
        <v>34</v>
      </c>
      <c r="D349" s="8" t="s">
        <v>26</v>
      </c>
      <c r="E349" s="8" t="s">
        <v>22</v>
      </c>
      <c r="F349" s="8" t="s">
        <v>27</v>
      </c>
      <c r="G349" s="8">
        <v>17</v>
      </c>
      <c r="H349" s="10">
        <v>15000</v>
      </c>
      <c r="I349" s="11">
        <v>0.1</v>
      </c>
    </row>
    <row r="350" spans="1:9">
      <c r="A350" s="4">
        <v>1349</v>
      </c>
      <c r="B350" s="5">
        <v>45912</v>
      </c>
      <c r="C350" s="4" t="s">
        <v>16</v>
      </c>
      <c r="D350" s="4" t="s">
        <v>10</v>
      </c>
      <c r="E350" s="4" t="s">
        <v>22</v>
      </c>
      <c r="F350" s="4" t="s">
        <v>12</v>
      </c>
      <c r="G350" s="4">
        <v>3</v>
      </c>
      <c r="H350" s="6">
        <v>55000</v>
      </c>
      <c r="I350" s="7">
        <v>0.1</v>
      </c>
    </row>
    <row r="351" spans="1:9">
      <c r="A351" s="8">
        <v>1350</v>
      </c>
      <c r="B351" s="9">
        <v>45768</v>
      </c>
      <c r="C351" s="8" t="s">
        <v>28</v>
      </c>
      <c r="D351" s="8" t="s">
        <v>26</v>
      </c>
      <c r="E351" s="8" t="s">
        <v>14</v>
      </c>
      <c r="F351" s="8" t="s">
        <v>27</v>
      </c>
      <c r="G351" s="8">
        <v>12</v>
      </c>
      <c r="H351" s="10">
        <v>9000</v>
      </c>
      <c r="I351" s="11">
        <v>0</v>
      </c>
    </row>
    <row r="352" spans="1:9">
      <c r="A352" s="4">
        <v>1351</v>
      </c>
      <c r="B352" s="5">
        <v>45911</v>
      </c>
      <c r="C352" s="4" t="s">
        <v>28</v>
      </c>
      <c r="D352" s="4" t="s">
        <v>26</v>
      </c>
      <c r="E352" s="4" t="s">
        <v>14</v>
      </c>
      <c r="F352" s="4" t="s">
        <v>24</v>
      </c>
      <c r="G352" s="4">
        <v>16</v>
      </c>
      <c r="H352" s="6">
        <v>9000</v>
      </c>
      <c r="I352" s="7">
        <v>0.08</v>
      </c>
    </row>
    <row r="353" spans="1:9">
      <c r="A353" s="8">
        <v>1352</v>
      </c>
      <c r="B353" s="9">
        <v>45878</v>
      </c>
      <c r="C353" s="8" t="s">
        <v>13</v>
      </c>
      <c r="D353" s="8" t="s">
        <v>10</v>
      </c>
      <c r="E353" s="8" t="s">
        <v>11</v>
      </c>
      <c r="F353" s="8" t="s">
        <v>15</v>
      </c>
      <c r="G353" s="8">
        <v>9</v>
      </c>
      <c r="H353" s="10">
        <v>1200</v>
      </c>
      <c r="I353" s="11">
        <v>0.15</v>
      </c>
    </row>
    <row r="354" spans="1:9">
      <c r="A354" s="4">
        <v>1353</v>
      </c>
      <c r="B354" s="5">
        <v>45845</v>
      </c>
      <c r="C354" s="4" t="s">
        <v>16</v>
      </c>
      <c r="D354" s="4" t="s">
        <v>10</v>
      </c>
      <c r="E354" s="4" t="s">
        <v>17</v>
      </c>
      <c r="F354" s="4" t="s">
        <v>23</v>
      </c>
      <c r="G354" s="4">
        <v>13</v>
      </c>
      <c r="H354" s="6">
        <v>55000</v>
      </c>
      <c r="I354" s="7">
        <v>0</v>
      </c>
    </row>
    <row r="355" spans="1:9">
      <c r="A355" s="8">
        <v>1354</v>
      </c>
      <c r="B355" s="9">
        <v>45941</v>
      </c>
      <c r="C355" s="8" t="s">
        <v>21</v>
      </c>
      <c r="D355" s="8" t="s">
        <v>10</v>
      </c>
      <c r="E355" s="8" t="s">
        <v>22</v>
      </c>
      <c r="F355" s="8" t="s">
        <v>27</v>
      </c>
      <c r="G355" s="8">
        <v>3</v>
      </c>
      <c r="H355" s="10">
        <v>14000</v>
      </c>
      <c r="I355" s="11">
        <v>0.1</v>
      </c>
    </row>
    <row r="356" spans="1:9">
      <c r="A356" s="4">
        <v>1355</v>
      </c>
      <c r="B356" s="5">
        <v>45977</v>
      </c>
      <c r="C356" s="4" t="s">
        <v>29</v>
      </c>
      <c r="D356" s="4" t="s">
        <v>30</v>
      </c>
      <c r="E356" s="4" t="s">
        <v>17</v>
      </c>
      <c r="F356" s="4" t="s">
        <v>24</v>
      </c>
      <c r="G356" s="4">
        <v>20</v>
      </c>
      <c r="H356" s="4">
        <v>250</v>
      </c>
      <c r="I356" s="7">
        <v>0</v>
      </c>
    </row>
    <row r="357" spans="1:9">
      <c r="A357" s="8">
        <v>1356</v>
      </c>
      <c r="B357" s="9">
        <v>45859</v>
      </c>
      <c r="C357" s="8" t="s">
        <v>33</v>
      </c>
      <c r="D357" s="8" t="s">
        <v>10</v>
      </c>
      <c r="E357" s="8" t="s">
        <v>11</v>
      </c>
      <c r="F357" s="8" t="s">
        <v>32</v>
      </c>
      <c r="G357" s="8">
        <v>11</v>
      </c>
      <c r="H357" s="10">
        <v>2500</v>
      </c>
      <c r="I357" s="11">
        <v>0.12</v>
      </c>
    </row>
    <row r="358" spans="1:9">
      <c r="A358" s="4">
        <v>1357</v>
      </c>
      <c r="B358" s="5">
        <v>45759</v>
      </c>
      <c r="C358" s="4" t="s">
        <v>28</v>
      </c>
      <c r="D358" s="4" t="s">
        <v>26</v>
      </c>
      <c r="E358" s="4" t="s">
        <v>14</v>
      </c>
      <c r="F358" s="4" t="s">
        <v>18</v>
      </c>
      <c r="G358" s="4">
        <v>17</v>
      </c>
      <c r="H358" s="6">
        <v>9000</v>
      </c>
      <c r="I358" s="7">
        <v>0.1</v>
      </c>
    </row>
    <row r="359" spans="1:9">
      <c r="A359" s="8">
        <v>1358</v>
      </c>
      <c r="B359" s="9">
        <v>45677</v>
      </c>
      <c r="C359" s="8" t="s">
        <v>13</v>
      </c>
      <c r="D359" s="8" t="s">
        <v>10</v>
      </c>
      <c r="E359" s="8" t="s">
        <v>22</v>
      </c>
      <c r="F359" s="8" t="s">
        <v>32</v>
      </c>
      <c r="G359" s="8">
        <v>11</v>
      </c>
      <c r="H359" s="10">
        <v>1200</v>
      </c>
      <c r="I359" s="11">
        <v>0.1</v>
      </c>
    </row>
    <row r="360" spans="1:9">
      <c r="A360" s="4">
        <v>1359</v>
      </c>
      <c r="B360" s="5">
        <v>45968</v>
      </c>
      <c r="C360" s="4" t="s">
        <v>37</v>
      </c>
      <c r="D360" s="4" t="s">
        <v>36</v>
      </c>
      <c r="E360" s="4" t="s">
        <v>11</v>
      </c>
      <c r="F360" s="4" t="s">
        <v>23</v>
      </c>
      <c r="G360" s="4">
        <v>17</v>
      </c>
      <c r="H360" s="6">
        <v>1800</v>
      </c>
      <c r="I360" s="7">
        <v>0.05</v>
      </c>
    </row>
    <row r="361" spans="1:9">
      <c r="A361" s="8">
        <v>1360</v>
      </c>
      <c r="B361" s="9">
        <v>45741</v>
      </c>
      <c r="C361" s="8" t="s">
        <v>31</v>
      </c>
      <c r="D361" s="8" t="s">
        <v>26</v>
      </c>
      <c r="E361" s="8" t="s">
        <v>11</v>
      </c>
      <c r="F361" s="8" t="s">
        <v>23</v>
      </c>
      <c r="G361" s="8">
        <v>20</v>
      </c>
      <c r="H361" s="10">
        <v>8500</v>
      </c>
      <c r="I361" s="11">
        <v>0.15</v>
      </c>
    </row>
    <row r="362" spans="1:9">
      <c r="A362" s="4">
        <v>1361</v>
      </c>
      <c r="B362" s="5">
        <v>45917</v>
      </c>
      <c r="C362" s="4" t="s">
        <v>38</v>
      </c>
      <c r="D362" s="4" t="s">
        <v>10</v>
      </c>
      <c r="E362" s="4" t="s">
        <v>22</v>
      </c>
      <c r="F362" s="4" t="s">
        <v>27</v>
      </c>
      <c r="G362" s="4">
        <v>17</v>
      </c>
      <c r="H362" s="6">
        <v>42000</v>
      </c>
      <c r="I362" s="7">
        <v>0.12</v>
      </c>
    </row>
    <row r="363" spans="1:9">
      <c r="A363" s="8">
        <v>1362</v>
      </c>
      <c r="B363" s="9">
        <v>45901</v>
      </c>
      <c r="C363" s="8" t="s">
        <v>38</v>
      </c>
      <c r="D363" s="8" t="s">
        <v>10</v>
      </c>
      <c r="E363" s="8" t="s">
        <v>11</v>
      </c>
      <c r="F363" s="8" t="s">
        <v>24</v>
      </c>
      <c r="G363" s="8">
        <v>1</v>
      </c>
      <c r="H363" s="10">
        <v>42000</v>
      </c>
      <c r="I363" s="11">
        <v>0.08</v>
      </c>
    </row>
    <row r="364" spans="1:9">
      <c r="A364" s="4">
        <v>1363</v>
      </c>
      <c r="B364" s="5">
        <v>45871</v>
      </c>
      <c r="C364" s="4" t="s">
        <v>28</v>
      </c>
      <c r="D364" s="4" t="s">
        <v>26</v>
      </c>
      <c r="E364" s="4" t="s">
        <v>14</v>
      </c>
      <c r="F364" s="4" t="s">
        <v>20</v>
      </c>
      <c r="G364" s="4">
        <v>10</v>
      </c>
      <c r="H364" s="6">
        <v>9000</v>
      </c>
      <c r="I364" s="7">
        <v>0.15</v>
      </c>
    </row>
    <row r="365" spans="1:9">
      <c r="A365" s="8">
        <v>1364</v>
      </c>
      <c r="B365" s="9">
        <v>45793</v>
      </c>
      <c r="C365" s="8" t="s">
        <v>29</v>
      </c>
      <c r="D365" s="8" t="s">
        <v>30</v>
      </c>
      <c r="E365" s="8" t="s">
        <v>17</v>
      </c>
      <c r="F365" s="8" t="s">
        <v>18</v>
      </c>
      <c r="G365" s="8">
        <v>19</v>
      </c>
      <c r="H365" s="8">
        <v>250</v>
      </c>
      <c r="I365" s="11">
        <v>0.12</v>
      </c>
    </row>
    <row r="366" spans="1:9">
      <c r="A366" s="4">
        <v>1365</v>
      </c>
      <c r="B366" s="5">
        <v>45956</v>
      </c>
      <c r="C366" s="4" t="s">
        <v>34</v>
      </c>
      <c r="D366" s="4" t="s">
        <v>26</v>
      </c>
      <c r="E366" s="4" t="s">
        <v>22</v>
      </c>
      <c r="F366" s="4" t="s">
        <v>32</v>
      </c>
      <c r="G366" s="4">
        <v>6</v>
      </c>
      <c r="H366" s="6">
        <v>15000</v>
      </c>
      <c r="I366" s="7">
        <v>0.12</v>
      </c>
    </row>
    <row r="367" spans="1:9">
      <c r="A367" s="8">
        <v>1366</v>
      </c>
      <c r="B367" s="9">
        <v>46006</v>
      </c>
      <c r="C367" s="8" t="s">
        <v>19</v>
      </c>
      <c r="D367" s="8" t="s">
        <v>10</v>
      </c>
      <c r="E367" s="8" t="s">
        <v>14</v>
      </c>
      <c r="F367" s="8" t="s">
        <v>12</v>
      </c>
      <c r="G367" s="8">
        <v>2</v>
      </c>
      <c r="H367" s="8">
        <v>800</v>
      </c>
      <c r="I367" s="11">
        <v>0.12</v>
      </c>
    </row>
    <row r="368" spans="1:9">
      <c r="A368" s="4">
        <v>1367</v>
      </c>
      <c r="B368" s="5">
        <v>45667</v>
      </c>
      <c r="C368" s="4" t="s">
        <v>34</v>
      </c>
      <c r="D368" s="4" t="s">
        <v>26</v>
      </c>
      <c r="E368" s="4" t="s">
        <v>17</v>
      </c>
      <c r="F368" s="4" t="s">
        <v>15</v>
      </c>
      <c r="G368" s="4">
        <v>11</v>
      </c>
      <c r="H368" s="6">
        <v>15000</v>
      </c>
      <c r="I368" s="7">
        <v>0.1</v>
      </c>
    </row>
    <row r="369" spans="1:9">
      <c r="A369" s="8">
        <v>1368</v>
      </c>
      <c r="B369" s="9">
        <v>46011</v>
      </c>
      <c r="C369" s="8" t="s">
        <v>19</v>
      </c>
      <c r="D369" s="8" t="s">
        <v>10</v>
      </c>
      <c r="E369" s="8" t="s">
        <v>22</v>
      </c>
      <c r="F369" s="8" t="s">
        <v>18</v>
      </c>
      <c r="G369" s="8">
        <v>14</v>
      </c>
      <c r="H369" s="8">
        <v>800</v>
      </c>
      <c r="I369" s="11">
        <v>0.12</v>
      </c>
    </row>
    <row r="370" spans="1:9">
      <c r="A370" s="4">
        <v>1369</v>
      </c>
      <c r="B370" s="5">
        <v>46019</v>
      </c>
      <c r="C370" s="4" t="s">
        <v>13</v>
      </c>
      <c r="D370" s="4" t="s">
        <v>10</v>
      </c>
      <c r="E370" s="4" t="s">
        <v>11</v>
      </c>
      <c r="F370" s="4" t="s">
        <v>20</v>
      </c>
      <c r="G370" s="4">
        <v>17</v>
      </c>
      <c r="H370" s="6">
        <v>1200</v>
      </c>
      <c r="I370" s="7">
        <v>0.05</v>
      </c>
    </row>
    <row r="371" spans="1:9">
      <c r="A371" s="8">
        <v>1370</v>
      </c>
      <c r="B371" s="9">
        <v>45927</v>
      </c>
      <c r="C371" s="8" t="s">
        <v>31</v>
      </c>
      <c r="D371" s="8" t="s">
        <v>26</v>
      </c>
      <c r="E371" s="8" t="s">
        <v>22</v>
      </c>
      <c r="F371" s="8" t="s">
        <v>23</v>
      </c>
      <c r="G371" s="8">
        <v>11</v>
      </c>
      <c r="H371" s="10">
        <v>8500</v>
      </c>
      <c r="I371" s="11">
        <v>0.05</v>
      </c>
    </row>
    <row r="372" spans="1:9">
      <c r="A372" s="4">
        <v>1371</v>
      </c>
      <c r="B372" s="5">
        <v>45937</v>
      </c>
      <c r="C372" s="4" t="s">
        <v>33</v>
      </c>
      <c r="D372" s="4" t="s">
        <v>10</v>
      </c>
      <c r="E372" s="4" t="s">
        <v>22</v>
      </c>
      <c r="F372" s="4" t="s">
        <v>12</v>
      </c>
      <c r="G372" s="4">
        <v>9</v>
      </c>
      <c r="H372" s="6">
        <v>2500</v>
      </c>
      <c r="I372" s="7">
        <v>0.12</v>
      </c>
    </row>
    <row r="373" spans="1:9">
      <c r="A373" s="8">
        <v>1372</v>
      </c>
      <c r="B373" s="9">
        <v>45784</v>
      </c>
      <c r="C373" s="8" t="s">
        <v>21</v>
      </c>
      <c r="D373" s="8" t="s">
        <v>10</v>
      </c>
      <c r="E373" s="8" t="s">
        <v>17</v>
      </c>
      <c r="F373" s="8" t="s">
        <v>27</v>
      </c>
      <c r="G373" s="8">
        <v>18</v>
      </c>
      <c r="H373" s="10">
        <v>14000</v>
      </c>
      <c r="I373" s="11">
        <v>0.08</v>
      </c>
    </row>
    <row r="374" spans="1:9">
      <c r="A374" s="4">
        <v>1373</v>
      </c>
      <c r="B374" s="5">
        <v>45805</v>
      </c>
      <c r="C374" s="4" t="s">
        <v>39</v>
      </c>
      <c r="D374" s="4" t="s">
        <v>30</v>
      </c>
      <c r="E374" s="4" t="s">
        <v>22</v>
      </c>
      <c r="F374" s="4" t="s">
        <v>23</v>
      </c>
      <c r="G374" s="4">
        <v>7</v>
      </c>
      <c r="H374" s="4">
        <v>180</v>
      </c>
      <c r="I374" s="7">
        <v>0.15</v>
      </c>
    </row>
    <row r="375" spans="1:9">
      <c r="A375" s="8">
        <v>1374</v>
      </c>
      <c r="B375" s="9">
        <v>45903</v>
      </c>
      <c r="C375" s="8" t="s">
        <v>33</v>
      </c>
      <c r="D375" s="8" t="s">
        <v>10</v>
      </c>
      <c r="E375" s="8" t="s">
        <v>11</v>
      </c>
      <c r="F375" s="8" t="s">
        <v>27</v>
      </c>
      <c r="G375" s="8">
        <v>18</v>
      </c>
      <c r="H375" s="10">
        <v>2500</v>
      </c>
      <c r="I375" s="11">
        <v>0.15</v>
      </c>
    </row>
    <row r="376" spans="1:9" ht="25.5">
      <c r="A376" s="4">
        <v>1375</v>
      </c>
      <c r="B376" s="5">
        <v>45720</v>
      </c>
      <c r="C376" s="4" t="s">
        <v>28</v>
      </c>
      <c r="D376" s="4" t="s">
        <v>26</v>
      </c>
      <c r="E376" s="4" t="s">
        <v>22</v>
      </c>
      <c r="F376" s="4" t="s">
        <v>23</v>
      </c>
      <c r="G376" s="12" t="s">
        <v>42</v>
      </c>
      <c r="H376" s="6">
        <v>9000</v>
      </c>
      <c r="I376" s="7">
        <v>0.1</v>
      </c>
    </row>
    <row r="377" spans="1:9">
      <c r="A377" s="8">
        <v>1376</v>
      </c>
      <c r="B377" s="9">
        <v>45732</v>
      </c>
      <c r="C377" s="8" t="s">
        <v>21</v>
      </c>
      <c r="D377" s="8" t="s">
        <v>10</v>
      </c>
      <c r="E377" s="8" t="s">
        <v>14</v>
      </c>
      <c r="F377" s="8" t="s">
        <v>23</v>
      </c>
      <c r="G377" s="8">
        <v>2</v>
      </c>
      <c r="H377" s="10">
        <v>14000</v>
      </c>
      <c r="I377" s="11">
        <v>0.08</v>
      </c>
    </row>
    <row r="378" spans="1:9">
      <c r="A378" s="4">
        <v>1377</v>
      </c>
      <c r="B378" s="5">
        <v>45884</v>
      </c>
      <c r="C378" s="4" t="s">
        <v>29</v>
      </c>
      <c r="D378" s="4" t="s">
        <v>30</v>
      </c>
      <c r="E378" s="4" t="s">
        <v>22</v>
      </c>
      <c r="F378" s="4" t="s">
        <v>12</v>
      </c>
      <c r="G378" s="4">
        <v>9</v>
      </c>
      <c r="H378" s="4">
        <v>250</v>
      </c>
      <c r="I378" s="7">
        <v>0.15</v>
      </c>
    </row>
    <row r="379" spans="1:9">
      <c r="A379" s="8">
        <v>1378</v>
      </c>
      <c r="B379" s="9">
        <v>45761</v>
      </c>
      <c r="C379" s="8" t="s">
        <v>38</v>
      </c>
      <c r="D379" s="8" t="s">
        <v>10</v>
      </c>
      <c r="E379" s="8" t="s">
        <v>11</v>
      </c>
      <c r="F379" s="8" t="s">
        <v>32</v>
      </c>
      <c r="G379" s="8">
        <v>18</v>
      </c>
      <c r="H379" s="10">
        <v>42000</v>
      </c>
      <c r="I379" s="11">
        <v>0.08</v>
      </c>
    </row>
    <row r="380" spans="1:9">
      <c r="A380" s="4">
        <v>1379</v>
      </c>
      <c r="B380" s="5">
        <v>45713</v>
      </c>
      <c r="C380" s="4" t="s">
        <v>28</v>
      </c>
      <c r="D380" s="4" t="s">
        <v>26</v>
      </c>
      <c r="E380" s="4" t="s">
        <v>17</v>
      </c>
      <c r="F380" s="4" t="s">
        <v>18</v>
      </c>
      <c r="G380" s="4">
        <v>19</v>
      </c>
      <c r="H380" s="6">
        <v>9000</v>
      </c>
      <c r="I380" s="7">
        <v>0.05</v>
      </c>
    </row>
    <row r="381" spans="1:9">
      <c r="A381" s="8">
        <v>1380</v>
      </c>
      <c r="B381" s="9">
        <v>46000</v>
      </c>
      <c r="C381" s="8" t="s">
        <v>37</v>
      </c>
      <c r="D381" s="8" t="s">
        <v>36</v>
      </c>
      <c r="E381" s="8" t="s">
        <v>17</v>
      </c>
      <c r="F381" s="8" t="s">
        <v>18</v>
      </c>
      <c r="G381" s="8">
        <v>17</v>
      </c>
      <c r="H381" s="10">
        <v>1800</v>
      </c>
      <c r="I381" s="11">
        <v>0.05</v>
      </c>
    </row>
    <row r="382" spans="1:9">
      <c r="A382" s="4">
        <v>1381</v>
      </c>
      <c r="B382" s="5">
        <v>45709</v>
      </c>
      <c r="C382" s="4" t="s">
        <v>31</v>
      </c>
      <c r="D382" s="4" t="s">
        <v>26</v>
      </c>
      <c r="E382" s="4" t="s">
        <v>22</v>
      </c>
      <c r="F382" s="4" t="s">
        <v>24</v>
      </c>
      <c r="G382" s="4">
        <v>11</v>
      </c>
      <c r="H382" s="6">
        <v>8500</v>
      </c>
      <c r="I382" s="7">
        <v>0.15</v>
      </c>
    </row>
    <row r="383" spans="1:9">
      <c r="A383" s="8">
        <v>1382</v>
      </c>
      <c r="B383" s="9">
        <v>46006</v>
      </c>
      <c r="C383" s="8" t="s">
        <v>35</v>
      </c>
      <c r="D383" s="8" t="s">
        <v>36</v>
      </c>
      <c r="E383" s="8" t="s">
        <v>17</v>
      </c>
      <c r="F383" s="8" t="s">
        <v>15</v>
      </c>
      <c r="G383" s="8">
        <v>5</v>
      </c>
      <c r="H383" s="10">
        <v>3500</v>
      </c>
      <c r="I383" s="11">
        <v>0</v>
      </c>
    </row>
    <row r="384" spans="1:9">
      <c r="A384" s="4">
        <v>1383</v>
      </c>
      <c r="B384" s="5">
        <v>45992</v>
      </c>
      <c r="C384" s="4" t="s">
        <v>37</v>
      </c>
      <c r="D384" s="4" t="s">
        <v>36</v>
      </c>
      <c r="E384" s="4" t="s">
        <v>17</v>
      </c>
      <c r="F384" s="4" t="s">
        <v>27</v>
      </c>
      <c r="G384" s="4">
        <v>16</v>
      </c>
      <c r="H384" s="6">
        <v>1800</v>
      </c>
      <c r="I384" s="7">
        <v>0.1</v>
      </c>
    </row>
    <row r="385" spans="1:9">
      <c r="A385" s="8">
        <v>1384</v>
      </c>
      <c r="B385" s="9">
        <v>45822</v>
      </c>
      <c r="C385" s="8" t="s">
        <v>21</v>
      </c>
      <c r="D385" s="8" t="s">
        <v>10</v>
      </c>
      <c r="E385" s="8" t="s">
        <v>17</v>
      </c>
      <c r="F385" s="8" t="s">
        <v>18</v>
      </c>
      <c r="G385" s="8">
        <v>2</v>
      </c>
      <c r="H385" s="10">
        <v>14000</v>
      </c>
      <c r="I385" s="11">
        <v>0</v>
      </c>
    </row>
    <row r="386" spans="1:9">
      <c r="A386" s="4">
        <v>1385</v>
      </c>
      <c r="B386" s="5">
        <v>45747</v>
      </c>
      <c r="C386" s="4" t="s">
        <v>31</v>
      </c>
      <c r="D386" s="4" t="s">
        <v>26</v>
      </c>
      <c r="E386" s="4" t="s">
        <v>22</v>
      </c>
      <c r="F386" s="4" t="s">
        <v>20</v>
      </c>
      <c r="G386" s="4">
        <v>6</v>
      </c>
      <c r="H386" s="6">
        <v>8500</v>
      </c>
      <c r="I386" s="7">
        <v>0</v>
      </c>
    </row>
    <row r="387" spans="1:9">
      <c r="A387" s="8">
        <v>1386</v>
      </c>
      <c r="B387" s="9">
        <v>45753</v>
      </c>
      <c r="C387" s="8" t="s">
        <v>37</v>
      </c>
      <c r="D387" s="8" t="s">
        <v>36</v>
      </c>
      <c r="E387" s="8" t="s">
        <v>14</v>
      </c>
      <c r="F387" s="8" t="s">
        <v>27</v>
      </c>
      <c r="G387" s="8">
        <v>10</v>
      </c>
      <c r="H387" s="10">
        <v>1800</v>
      </c>
      <c r="I387" s="11">
        <v>0</v>
      </c>
    </row>
    <row r="388" spans="1:9">
      <c r="A388" s="4">
        <v>1387</v>
      </c>
      <c r="B388" s="5">
        <v>45948</v>
      </c>
      <c r="C388" s="4" t="s">
        <v>28</v>
      </c>
      <c r="D388" s="4" t="s">
        <v>26</v>
      </c>
      <c r="E388" s="4" t="s">
        <v>11</v>
      </c>
      <c r="F388" s="4" t="s">
        <v>20</v>
      </c>
      <c r="G388" s="4">
        <v>4</v>
      </c>
      <c r="H388" s="6">
        <v>9000</v>
      </c>
      <c r="I388" s="7">
        <v>0.08</v>
      </c>
    </row>
    <row r="389" spans="1:9">
      <c r="A389" s="8">
        <v>1388</v>
      </c>
      <c r="B389" s="9">
        <v>45986</v>
      </c>
      <c r="C389" s="8" t="s">
        <v>25</v>
      </c>
      <c r="D389" s="8" t="s">
        <v>26</v>
      </c>
      <c r="E389" s="8" t="s">
        <v>17</v>
      </c>
      <c r="F389" s="8" t="s">
        <v>20</v>
      </c>
      <c r="G389" s="8">
        <v>17</v>
      </c>
      <c r="H389" s="10">
        <v>11000</v>
      </c>
      <c r="I389" s="11">
        <v>0.1</v>
      </c>
    </row>
    <row r="390" spans="1:9">
      <c r="A390" s="4">
        <v>1389</v>
      </c>
      <c r="B390" s="5">
        <v>45797</v>
      </c>
      <c r="C390" s="4" t="s">
        <v>19</v>
      </c>
      <c r="D390" s="4" t="s">
        <v>10</v>
      </c>
      <c r="E390" s="4" t="s">
        <v>17</v>
      </c>
      <c r="F390" s="4" t="s">
        <v>20</v>
      </c>
      <c r="G390" s="4">
        <v>4</v>
      </c>
      <c r="H390" s="4">
        <v>800</v>
      </c>
      <c r="I390" s="7">
        <v>0.08</v>
      </c>
    </row>
    <row r="391" spans="1:9">
      <c r="A391" s="8">
        <v>1390</v>
      </c>
      <c r="B391" s="9">
        <v>45989</v>
      </c>
      <c r="C391" s="8" t="s">
        <v>21</v>
      </c>
      <c r="D391" s="8" t="s">
        <v>10</v>
      </c>
      <c r="E391" s="8" t="s">
        <v>11</v>
      </c>
      <c r="F391" s="8" t="s">
        <v>27</v>
      </c>
      <c r="G391" s="8">
        <v>6</v>
      </c>
      <c r="H391" s="10">
        <v>14000</v>
      </c>
      <c r="I391" s="11">
        <v>0</v>
      </c>
    </row>
    <row r="392" spans="1:9">
      <c r="A392" s="4">
        <v>1391</v>
      </c>
      <c r="B392" s="5">
        <v>45948</v>
      </c>
      <c r="C392" s="4" t="s">
        <v>29</v>
      </c>
      <c r="D392" s="4" t="s">
        <v>30</v>
      </c>
      <c r="E392" s="4" t="s">
        <v>22</v>
      </c>
      <c r="F392" s="4" t="s">
        <v>15</v>
      </c>
      <c r="G392" s="4">
        <v>7</v>
      </c>
      <c r="H392" s="4">
        <v>250</v>
      </c>
      <c r="I392" s="7">
        <v>0.05</v>
      </c>
    </row>
    <row r="393" spans="1:9">
      <c r="A393" s="8">
        <v>1392</v>
      </c>
      <c r="B393" s="9">
        <v>45921</v>
      </c>
      <c r="C393" s="8" t="s">
        <v>33</v>
      </c>
      <c r="D393" s="8" t="s">
        <v>10</v>
      </c>
      <c r="E393" s="8" t="s">
        <v>14</v>
      </c>
      <c r="F393" s="8" t="s">
        <v>32</v>
      </c>
      <c r="G393" s="8">
        <v>3</v>
      </c>
      <c r="H393" s="10">
        <v>2500</v>
      </c>
      <c r="I393" s="11">
        <v>0.1</v>
      </c>
    </row>
    <row r="394" spans="1:9">
      <c r="A394" s="4">
        <v>1393</v>
      </c>
      <c r="B394" s="5">
        <v>45729</v>
      </c>
      <c r="C394" s="4" t="s">
        <v>34</v>
      </c>
      <c r="D394" s="4" t="s">
        <v>26</v>
      </c>
      <c r="E394" s="4" t="s">
        <v>14</v>
      </c>
      <c r="F394" s="4" t="s">
        <v>27</v>
      </c>
      <c r="G394" s="4">
        <v>11</v>
      </c>
      <c r="H394" s="6">
        <v>15000</v>
      </c>
      <c r="I394" s="7">
        <v>0.05</v>
      </c>
    </row>
    <row r="395" spans="1:9">
      <c r="A395" s="8">
        <v>1394</v>
      </c>
      <c r="B395" s="9">
        <v>45854</v>
      </c>
      <c r="C395" s="8" t="s">
        <v>19</v>
      </c>
      <c r="D395" s="8" t="s">
        <v>10</v>
      </c>
      <c r="E395" s="8" t="s">
        <v>11</v>
      </c>
      <c r="F395" s="8" t="s">
        <v>27</v>
      </c>
      <c r="G395" s="8">
        <v>15</v>
      </c>
      <c r="H395" s="8">
        <v>800</v>
      </c>
      <c r="I395" s="11">
        <v>0.08</v>
      </c>
    </row>
    <row r="396" spans="1:9">
      <c r="A396" s="4">
        <v>1395</v>
      </c>
      <c r="B396" s="5">
        <v>45956</v>
      </c>
      <c r="C396" s="4" t="s">
        <v>39</v>
      </c>
      <c r="D396" s="4" t="s">
        <v>30</v>
      </c>
      <c r="E396" s="4" t="s">
        <v>11</v>
      </c>
      <c r="F396" s="4" t="s">
        <v>23</v>
      </c>
      <c r="G396" s="4">
        <v>19</v>
      </c>
      <c r="H396" s="4">
        <v>180</v>
      </c>
      <c r="I396" s="7">
        <v>0</v>
      </c>
    </row>
    <row r="397" spans="1:9">
      <c r="A397" s="8">
        <v>1396</v>
      </c>
      <c r="B397" s="9">
        <v>46012</v>
      </c>
      <c r="C397" s="8" t="s">
        <v>19</v>
      </c>
      <c r="D397" s="8" t="s">
        <v>10</v>
      </c>
      <c r="E397" s="8" t="s">
        <v>14</v>
      </c>
      <c r="F397" s="8" t="s">
        <v>20</v>
      </c>
      <c r="G397" s="8">
        <v>2</v>
      </c>
      <c r="H397" s="8">
        <v>800</v>
      </c>
      <c r="I397" s="11">
        <v>0.15</v>
      </c>
    </row>
    <row r="398" spans="1:9">
      <c r="A398" s="4">
        <v>1397</v>
      </c>
      <c r="B398" s="5">
        <v>45815</v>
      </c>
      <c r="C398" s="4" t="s">
        <v>13</v>
      </c>
      <c r="D398" s="4" t="s">
        <v>10</v>
      </c>
      <c r="E398" s="4" t="s">
        <v>11</v>
      </c>
      <c r="F398" s="4" t="s">
        <v>24</v>
      </c>
      <c r="G398" s="4">
        <v>13</v>
      </c>
      <c r="H398" s="6">
        <v>1200</v>
      </c>
      <c r="I398" s="7">
        <v>0.15</v>
      </c>
    </row>
    <row r="399" spans="1:9">
      <c r="A399" s="8">
        <v>1398</v>
      </c>
      <c r="B399" s="9">
        <v>45985</v>
      </c>
      <c r="C399" s="8" t="s">
        <v>37</v>
      </c>
      <c r="D399" s="8" t="s">
        <v>36</v>
      </c>
      <c r="E399" s="8" t="s">
        <v>17</v>
      </c>
      <c r="F399" s="8" t="s">
        <v>12</v>
      </c>
      <c r="G399" s="8">
        <v>10</v>
      </c>
      <c r="H399" s="10">
        <v>1800</v>
      </c>
      <c r="I399" s="11">
        <v>0.08</v>
      </c>
    </row>
    <row r="400" spans="1:9">
      <c r="A400" s="4">
        <v>1399</v>
      </c>
      <c r="B400" s="5">
        <v>45726</v>
      </c>
      <c r="C400" s="4" t="s">
        <v>34</v>
      </c>
      <c r="D400" s="4" t="s">
        <v>26</v>
      </c>
      <c r="E400" s="4" t="s">
        <v>11</v>
      </c>
      <c r="F400" s="4" t="s">
        <v>15</v>
      </c>
      <c r="G400" s="4">
        <v>5</v>
      </c>
      <c r="H400" s="6">
        <v>15000</v>
      </c>
      <c r="I400" s="7">
        <v>0.1</v>
      </c>
    </row>
    <row r="401" spans="1:9">
      <c r="A401" s="8">
        <v>1400</v>
      </c>
      <c r="B401" s="9">
        <v>46017</v>
      </c>
      <c r="C401" s="8" t="s">
        <v>25</v>
      </c>
      <c r="D401" s="8" t="s">
        <v>26</v>
      </c>
      <c r="E401" s="8" t="s">
        <v>17</v>
      </c>
      <c r="F401" s="8" t="s">
        <v>12</v>
      </c>
      <c r="G401" s="8">
        <v>16</v>
      </c>
      <c r="H401" s="10">
        <v>11000</v>
      </c>
      <c r="I401" s="11">
        <v>0.12</v>
      </c>
    </row>
    <row r="402" spans="1:9">
      <c r="A402" s="4">
        <v>1401</v>
      </c>
      <c r="B402" s="5">
        <v>46006</v>
      </c>
      <c r="C402" s="4" t="s">
        <v>35</v>
      </c>
      <c r="D402" s="4" t="s">
        <v>36</v>
      </c>
      <c r="E402" s="4" t="s">
        <v>22</v>
      </c>
      <c r="F402" s="4" t="s">
        <v>23</v>
      </c>
      <c r="G402" s="4">
        <v>20</v>
      </c>
      <c r="H402" s="6">
        <v>3500</v>
      </c>
      <c r="I402" s="7">
        <v>0</v>
      </c>
    </row>
    <row r="403" spans="1:9">
      <c r="A403" s="8">
        <v>1402</v>
      </c>
      <c r="B403" s="9">
        <v>45697</v>
      </c>
      <c r="C403" s="8" t="s">
        <v>37</v>
      </c>
      <c r="D403" s="8" t="s">
        <v>36</v>
      </c>
      <c r="E403" s="8" t="s">
        <v>14</v>
      </c>
      <c r="F403" s="8" t="s">
        <v>12</v>
      </c>
      <c r="G403" s="8">
        <v>19</v>
      </c>
      <c r="H403" s="10">
        <v>1800</v>
      </c>
      <c r="I403" s="11">
        <v>0</v>
      </c>
    </row>
    <row r="404" spans="1:9">
      <c r="A404" s="4">
        <v>1403</v>
      </c>
      <c r="B404" s="5">
        <v>45951</v>
      </c>
      <c r="C404" s="4" t="s">
        <v>25</v>
      </c>
      <c r="D404" s="4" t="s">
        <v>26</v>
      </c>
      <c r="E404" s="4" t="s">
        <v>11</v>
      </c>
      <c r="F404" s="4" t="s">
        <v>20</v>
      </c>
      <c r="G404" s="4">
        <v>5</v>
      </c>
      <c r="H404" s="6">
        <v>11000</v>
      </c>
      <c r="I404" s="7">
        <v>0.05</v>
      </c>
    </row>
    <row r="405" spans="1:9">
      <c r="A405" s="8">
        <v>1404</v>
      </c>
      <c r="B405" s="9">
        <v>45717</v>
      </c>
      <c r="C405" s="8" t="s">
        <v>29</v>
      </c>
      <c r="D405" s="8" t="s">
        <v>30</v>
      </c>
      <c r="E405" s="8" t="s">
        <v>22</v>
      </c>
      <c r="F405" s="8" t="s">
        <v>24</v>
      </c>
      <c r="G405" s="8">
        <v>7</v>
      </c>
      <c r="H405" s="8">
        <v>250</v>
      </c>
      <c r="I405" s="11">
        <v>0.15</v>
      </c>
    </row>
    <row r="406" spans="1:9">
      <c r="A406" s="4">
        <v>1405</v>
      </c>
      <c r="B406" s="5">
        <v>45919</v>
      </c>
      <c r="C406" s="4" t="s">
        <v>34</v>
      </c>
      <c r="D406" s="4" t="s">
        <v>26</v>
      </c>
      <c r="E406" s="4" t="s">
        <v>17</v>
      </c>
      <c r="F406" s="4" t="s">
        <v>15</v>
      </c>
      <c r="G406" s="4">
        <v>2</v>
      </c>
      <c r="H406" s="6">
        <v>15000</v>
      </c>
      <c r="I406" s="7">
        <v>0.1</v>
      </c>
    </row>
    <row r="407" spans="1:9">
      <c r="A407" s="8">
        <v>1406</v>
      </c>
      <c r="B407" s="9">
        <v>45891</v>
      </c>
      <c r="C407" s="8" t="s">
        <v>28</v>
      </c>
      <c r="D407" s="8" t="s">
        <v>26</v>
      </c>
      <c r="E407" s="8" t="s">
        <v>22</v>
      </c>
      <c r="F407" s="8" t="s">
        <v>27</v>
      </c>
      <c r="G407" s="8">
        <v>2</v>
      </c>
      <c r="H407" s="10">
        <v>9000</v>
      </c>
      <c r="I407" s="11">
        <v>0.12</v>
      </c>
    </row>
    <row r="408" spans="1:9">
      <c r="A408" s="4">
        <v>1407</v>
      </c>
      <c r="B408" s="5">
        <v>45669</v>
      </c>
      <c r="C408" s="4" t="s">
        <v>31</v>
      </c>
      <c r="D408" s="4" t="s">
        <v>26</v>
      </c>
      <c r="E408" s="4" t="s">
        <v>17</v>
      </c>
      <c r="F408" s="4" t="s">
        <v>24</v>
      </c>
      <c r="G408" s="4">
        <v>9</v>
      </c>
      <c r="H408" s="6">
        <v>8500</v>
      </c>
      <c r="I408" s="7">
        <v>0</v>
      </c>
    </row>
    <row r="409" spans="1:9">
      <c r="A409" s="8">
        <v>1408</v>
      </c>
      <c r="B409" s="9">
        <v>45681</v>
      </c>
      <c r="C409" s="8" t="s">
        <v>31</v>
      </c>
      <c r="D409" s="8" t="s">
        <v>26</v>
      </c>
      <c r="E409" s="8" t="s">
        <v>14</v>
      </c>
      <c r="F409" s="8" t="s">
        <v>18</v>
      </c>
      <c r="G409" s="8">
        <v>12</v>
      </c>
      <c r="H409" s="10">
        <v>8500</v>
      </c>
      <c r="I409" s="11">
        <v>0.15</v>
      </c>
    </row>
    <row r="410" spans="1:9">
      <c r="A410" s="4">
        <v>1409</v>
      </c>
      <c r="B410" s="5">
        <v>45693</v>
      </c>
      <c r="C410" s="4" t="s">
        <v>37</v>
      </c>
      <c r="D410" s="4" t="s">
        <v>36</v>
      </c>
      <c r="E410" s="4" t="s">
        <v>11</v>
      </c>
      <c r="F410" s="4" t="s">
        <v>15</v>
      </c>
      <c r="G410" s="4">
        <v>16</v>
      </c>
      <c r="H410" s="6">
        <v>1800</v>
      </c>
      <c r="I410" s="7">
        <v>0</v>
      </c>
    </row>
    <row r="411" spans="1:9">
      <c r="A411" s="8">
        <v>1410</v>
      </c>
      <c r="B411" s="9">
        <v>45750</v>
      </c>
      <c r="C411" s="8" t="s">
        <v>35</v>
      </c>
      <c r="D411" s="8" t="s">
        <v>36</v>
      </c>
      <c r="E411" s="8" t="s">
        <v>22</v>
      </c>
      <c r="F411" s="8" t="s">
        <v>23</v>
      </c>
      <c r="G411" s="8">
        <v>5</v>
      </c>
      <c r="H411" s="10">
        <v>3500</v>
      </c>
      <c r="I411" s="11">
        <v>0.15</v>
      </c>
    </row>
    <row r="412" spans="1:9">
      <c r="A412" s="4">
        <v>1411</v>
      </c>
      <c r="B412" s="5">
        <v>45853</v>
      </c>
      <c r="C412" s="4" t="s">
        <v>34</v>
      </c>
      <c r="D412" s="4" t="s">
        <v>26</v>
      </c>
      <c r="E412" s="4" t="s">
        <v>14</v>
      </c>
      <c r="F412" s="4" t="s">
        <v>32</v>
      </c>
      <c r="G412" s="4">
        <v>13</v>
      </c>
      <c r="H412" s="6">
        <v>15000</v>
      </c>
      <c r="I412" s="7">
        <v>0.1</v>
      </c>
    </row>
    <row r="413" spans="1:9">
      <c r="A413" s="8">
        <v>1412</v>
      </c>
      <c r="B413" s="9">
        <v>45992</v>
      </c>
      <c r="C413" s="8" t="s">
        <v>38</v>
      </c>
      <c r="D413" s="8" t="s">
        <v>10</v>
      </c>
      <c r="E413" s="8" t="s">
        <v>17</v>
      </c>
      <c r="F413" s="8" t="s">
        <v>15</v>
      </c>
      <c r="G413" s="8">
        <v>12</v>
      </c>
      <c r="H413" s="10">
        <v>42000</v>
      </c>
      <c r="I413" s="11">
        <v>0</v>
      </c>
    </row>
    <row r="414" spans="1:9">
      <c r="A414" s="4">
        <v>1413</v>
      </c>
      <c r="B414" s="5">
        <v>45928</v>
      </c>
      <c r="C414" s="4" t="s">
        <v>13</v>
      </c>
      <c r="D414" s="4" t="s">
        <v>10</v>
      </c>
      <c r="E414" s="4" t="s">
        <v>14</v>
      </c>
      <c r="F414" s="4" t="s">
        <v>27</v>
      </c>
      <c r="G414" s="4">
        <v>8</v>
      </c>
      <c r="H414" s="6">
        <v>1200</v>
      </c>
      <c r="I414" s="7">
        <v>0</v>
      </c>
    </row>
    <row r="415" spans="1:9">
      <c r="A415" s="8">
        <v>1414</v>
      </c>
      <c r="B415" s="9">
        <v>45895</v>
      </c>
      <c r="C415" s="8" t="s">
        <v>29</v>
      </c>
      <c r="D415" s="8" t="s">
        <v>30</v>
      </c>
      <c r="E415" s="8" t="s">
        <v>22</v>
      </c>
      <c r="F415" s="8" t="s">
        <v>12</v>
      </c>
      <c r="G415" s="8">
        <v>18</v>
      </c>
      <c r="H415" s="8">
        <v>250</v>
      </c>
      <c r="I415" s="11">
        <v>0.1</v>
      </c>
    </row>
    <row r="416" spans="1:9">
      <c r="A416" s="4">
        <v>1415</v>
      </c>
      <c r="B416" s="5">
        <v>45784</v>
      </c>
      <c r="C416" s="4" t="s">
        <v>34</v>
      </c>
      <c r="D416" s="4" t="s">
        <v>26</v>
      </c>
      <c r="E416" s="4" t="s">
        <v>11</v>
      </c>
      <c r="F416" s="4" t="s">
        <v>12</v>
      </c>
      <c r="G416" s="4">
        <v>12</v>
      </c>
      <c r="H416" s="6">
        <v>15000</v>
      </c>
      <c r="I416" s="7">
        <v>0.05</v>
      </c>
    </row>
    <row r="417" spans="1:9">
      <c r="A417" s="8">
        <v>1416</v>
      </c>
      <c r="B417" s="9">
        <v>45715</v>
      </c>
      <c r="C417" s="8" t="s">
        <v>16</v>
      </c>
      <c r="D417" s="8" t="s">
        <v>10</v>
      </c>
      <c r="E417" s="8" t="s">
        <v>14</v>
      </c>
      <c r="F417" s="8" t="s">
        <v>12</v>
      </c>
      <c r="G417" s="8">
        <v>14</v>
      </c>
      <c r="H417" s="10">
        <v>55000</v>
      </c>
      <c r="I417" s="11">
        <v>0.12</v>
      </c>
    </row>
    <row r="418" spans="1:9">
      <c r="A418" s="4">
        <v>1417</v>
      </c>
      <c r="B418" s="5">
        <v>45763</v>
      </c>
      <c r="C418" s="4" t="s">
        <v>9</v>
      </c>
      <c r="D418" s="4" t="s">
        <v>10</v>
      </c>
      <c r="E418" s="4" t="s">
        <v>14</v>
      </c>
      <c r="F418" s="4" t="s">
        <v>20</v>
      </c>
      <c r="G418" s="4">
        <v>4</v>
      </c>
      <c r="H418" s="6">
        <v>18000</v>
      </c>
      <c r="I418" s="7">
        <v>0.12</v>
      </c>
    </row>
    <row r="419" spans="1:9">
      <c r="A419" s="8">
        <v>1418</v>
      </c>
      <c r="B419" s="9">
        <v>45964</v>
      </c>
      <c r="C419" s="8" t="s">
        <v>29</v>
      </c>
      <c r="D419" s="8" t="s">
        <v>30</v>
      </c>
      <c r="E419" s="8" t="s">
        <v>14</v>
      </c>
      <c r="F419" s="8" t="s">
        <v>15</v>
      </c>
      <c r="G419" s="8">
        <v>2</v>
      </c>
      <c r="H419" s="8">
        <v>250</v>
      </c>
      <c r="I419" s="11">
        <v>0.05</v>
      </c>
    </row>
    <row r="420" spans="1:9">
      <c r="A420" s="4">
        <v>1419</v>
      </c>
      <c r="B420" s="5">
        <v>45882</v>
      </c>
      <c r="C420" s="4" t="s">
        <v>19</v>
      </c>
      <c r="D420" s="4" t="s">
        <v>10</v>
      </c>
      <c r="E420" s="4" t="s">
        <v>14</v>
      </c>
      <c r="F420" s="4" t="s">
        <v>32</v>
      </c>
      <c r="G420" s="4">
        <v>18</v>
      </c>
      <c r="H420" s="4">
        <v>800</v>
      </c>
      <c r="I420" s="7">
        <v>0.05</v>
      </c>
    </row>
    <row r="421" spans="1:9">
      <c r="A421" s="8">
        <v>1420</v>
      </c>
      <c r="B421" s="9">
        <v>45915</v>
      </c>
      <c r="C421" s="8" t="s">
        <v>21</v>
      </c>
      <c r="D421" s="8" t="s">
        <v>10</v>
      </c>
      <c r="E421" s="8" t="s">
        <v>11</v>
      </c>
      <c r="F421" s="8" t="s">
        <v>23</v>
      </c>
      <c r="G421" s="8">
        <v>8</v>
      </c>
      <c r="H421" s="10">
        <v>14000</v>
      </c>
      <c r="I421" s="11">
        <v>0.15</v>
      </c>
    </row>
    <row r="422" spans="1:9">
      <c r="A422" s="4">
        <v>1421</v>
      </c>
      <c r="B422" s="5">
        <v>45779</v>
      </c>
      <c r="C422" s="4" t="s">
        <v>21</v>
      </c>
      <c r="D422" s="4" t="s">
        <v>10</v>
      </c>
      <c r="E422" s="4" t="s">
        <v>17</v>
      </c>
      <c r="F422" s="4" t="s">
        <v>15</v>
      </c>
      <c r="G422" s="4">
        <v>5</v>
      </c>
      <c r="H422" s="6">
        <v>14000</v>
      </c>
      <c r="I422" s="7">
        <v>0.15</v>
      </c>
    </row>
    <row r="423" spans="1:9">
      <c r="A423" s="8">
        <v>1422</v>
      </c>
      <c r="B423" s="9">
        <v>45811</v>
      </c>
      <c r="C423" s="8" t="s">
        <v>21</v>
      </c>
      <c r="D423" s="8" t="s">
        <v>10</v>
      </c>
      <c r="E423" s="8" t="s">
        <v>17</v>
      </c>
      <c r="F423" s="8" t="s">
        <v>15</v>
      </c>
      <c r="G423" s="8">
        <v>2</v>
      </c>
      <c r="H423" s="10">
        <v>14000</v>
      </c>
      <c r="I423" s="11">
        <v>0.12</v>
      </c>
    </row>
    <row r="424" spans="1:9">
      <c r="A424" s="4">
        <v>1423</v>
      </c>
      <c r="B424" s="5">
        <v>45942</v>
      </c>
      <c r="C424" s="4" t="s">
        <v>34</v>
      </c>
      <c r="D424" s="4" t="s">
        <v>26</v>
      </c>
      <c r="E424" s="4" t="s">
        <v>22</v>
      </c>
      <c r="F424" s="4" t="s">
        <v>23</v>
      </c>
      <c r="G424" s="4">
        <v>2</v>
      </c>
      <c r="H424" s="6">
        <v>15000</v>
      </c>
      <c r="I424" s="7">
        <v>0.08</v>
      </c>
    </row>
    <row r="425" spans="1:9">
      <c r="A425" s="8">
        <v>1424</v>
      </c>
      <c r="B425" s="9">
        <v>46014</v>
      </c>
      <c r="C425" s="8" t="s">
        <v>31</v>
      </c>
      <c r="D425" s="8" t="s">
        <v>26</v>
      </c>
      <c r="E425" s="8" t="s">
        <v>11</v>
      </c>
      <c r="F425" s="8" t="s">
        <v>15</v>
      </c>
      <c r="G425" s="8">
        <v>14</v>
      </c>
      <c r="H425" s="10">
        <v>8500</v>
      </c>
      <c r="I425" s="11">
        <v>0.05</v>
      </c>
    </row>
    <row r="426" spans="1:9">
      <c r="A426" s="4">
        <v>1425</v>
      </c>
      <c r="B426" s="5">
        <v>45752</v>
      </c>
      <c r="C426" s="4" t="s">
        <v>35</v>
      </c>
      <c r="D426" s="4" t="s">
        <v>36</v>
      </c>
      <c r="E426" s="4" t="s">
        <v>17</v>
      </c>
      <c r="F426" s="4" t="s">
        <v>12</v>
      </c>
      <c r="G426" s="4">
        <v>18</v>
      </c>
      <c r="H426" s="6">
        <v>3500</v>
      </c>
      <c r="I426" s="7">
        <v>0.1</v>
      </c>
    </row>
    <row r="427" spans="1:9">
      <c r="A427" s="8">
        <v>1426</v>
      </c>
      <c r="B427" s="9">
        <v>45811</v>
      </c>
      <c r="C427" s="8" t="s">
        <v>38</v>
      </c>
      <c r="D427" s="8" t="s">
        <v>10</v>
      </c>
      <c r="E427" s="8" t="s">
        <v>14</v>
      </c>
      <c r="F427" s="8" t="s">
        <v>15</v>
      </c>
      <c r="G427" s="8">
        <v>5</v>
      </c>
      <c r="H427" s="10">
        <v>42000</v>
      </c>
      <c r="I427" s="11">
        <v>0.1</v>
      </c>
    </row>
    <row r="428" spans="1:9">
      <c r="A428" s="4">
        <v>1427</v>
      </c>
      <c r="B428" s="5">
        <v>45871</v>
      </c>
      <c r="C428" s="4" t="s">
        <v>25</v>
      </c>
      <c r="D428" s="4" t="s">
        <v>26</v>
      </c>
      <c r="E428" s="4" t="s">
        <v>22</v>
      </c>
      <c r="F428" s="4" t="s">
        <v>12</v>
      </c>
      <c r="G428" s="4">
        <v>17</v>
      </c>
      <c r="H428" s="6">
        <v>11000</v>
      </c>
      <c r="I428" s="7">
        <v>0.05</v>
      </c>
    </row>
    <row r="429" spans="1:9">
      <c r="A429" s="8">
        <v>1428</v>
      </c>
      <c r="B429" s="9">
        <v>45788</v>
      </c>
      <c r="C429" s="8" t="s">
        <v>19</v>
      </c>
      <c r="D429" s="8" t="s">
        <v>10</v>
      </c>
      <c r="E429" s="8" t="s">
        <v>14</v>
      </c>
      <c r="F429" s="8" t="s">
        <v>20</v>
      </c>
      <c r="G429" s="8">
        <v>11</v>
      </c>
      <c r="H429" s="8">
        <v>800</v>
      </c>
      <c r="I429" s="11">
        <v>0.15</v>
      </c>
    </row>
    <row r="430" spans="1:9">
      <c r="A430" s="4">
        <v>1429</v>
      </c>
      <c r="B430" s="5">
        <v>45847</v>
      </c>
      <c r="C430" s="4" t="s">
        <v>9</v>
      </c>
      <c r="D430" s="4" t="s">
        <v>10</v>
      </c>
      <c r="E430" s="4" t="s">
        <v>17</v>
      </c>
      <c r="F430" s="4" t="s">
        <v>18</v>
      </c>
      <c r="G430" s="4">
        <v>18</v>
      </c>
      <c r="H430" s="6">
        <v>18000</v>
      </c>
      <c r="I430" s="7">
        <v>0.15</v>
      </c>
    </row>
    <row r="431" spans="1:9">
      <c r="A431" s="8">
        <v>1430</v>
      </c>
      <c r="B431" s="9">
        <v>45795</v>
      </c>
      <c r="C431" s="8" t="s">
        <v>31</v>
      </c>
      <c r="D431" s="8" t="s">
        <v>26</v>
      </c>
      <c r="E431" s="8" t="s">
        <v>14</v>
      </c>
      <c r="F431" s="8" t="s">
        <v>24</v>
      </c>
      <c r="G431" s="8">
        <v>20</v>
      </c>
      <c r="H431" s="10">
        <v>8500</v>
      </c>
      <c r="I431" s="11">
        <v>0.12</v>
      </c>
    </row>
    <row r="432" spans="1:9">
      <c r="A432" s="4">
        <v>1431</v>
      </c>
      <c r="B432" s="5">
        <v>45754</v>
      </c>
      <c r="C432" s="4" t="s">
        <v>35</v>
      </c>
      <c r="D432" s="4" t="s">
        <v>36</v>
      </c>
      <c r="E432" s="4" t="s">
        <v>17</v>
      </c>
      <c r="F432" s="4" t="s">
        <v>20</v>
      </c>
      <c r="G432" s="4">
        <v>19</v>
      </c>
      <c r="H432" s="6">
        <v>3500</v>
      </c>
      <c r="I432" s="7">
        <v>0.15</v>
      </c>
    </row>
    <row r="433" spans="1:9">
      <c r="A433" s="8">
        <v>1432</v>
      </c>
      <c r="B433" s="9">
        <v>45764</v>
      </c>
      <c r="C433" s="8" t="s">
        <v>38</v>
      </c>
      <c r="D433" s="8" t="s">
        <v>10</v>
      </c>
      <c r="E433" s="8" t="s">
        <v>14</v>
      </c>
      <c r="F433" s="8" t="s">
        <v>12</v>
      </c>
      <c r="G433" s="8">
        <v>11</v>
      </c>
      <c r="H433" s="10">
        <v>42000</v>
      </c>
      <c r="I433" s="11">
        <v>0.08</v>
      </c>
    </row>
    <row r="434" spans="1:9">
      <c r="A434" s="4">
        <v>1433</v>
      </c>
      <c r="B434" s="5">
        <v>45755</v>
      </c>
      <c r="C434" s="4" t="s">
        <v>39</v>
      </c>
      <c r="D434" s="4" t="s">
        <v>30</v>
      </c>
      <c r="E434" s="4" t="s">
        <v>22</v>
      </c>
      <c r="F434" s="4" t="s">
        <v>12</v>
      </c>
      <c r="G434" s="4">
        <v>4</v>
      </c>
      <c r="H434" s="4">
        <v>180</v>
      </c>
      <c r="I434" s="7">
        <v>0.15</v>
      </c>
    </row>
    <row r="435" spans="1:9">
      <c r="A435" s="8">
        <v>1434</v>
      </c>
      <c r="B435" s="9">
        <v>46014</v>
      </c>
      <c r="C435" s="8" t="s">
        <v>28</v>
      </c>
      <c r="D435" s="8" t="s">
        <v>26</v>
      </c>
      <c r="E435" s="8" t="s">
        <v>17</v>
      </c>
      <c r="F435" s="8" t="s">
        <v>23</v>
      </c>
      <c r="G435" s="8">
        <v>7</v>
      </c>
      <c r="H435" s="10">
        <v>9000</v>
      </c>
      <c r="I435" s="11">
        <v>0.1</v>
      </c>
    </row>
    <row r="436" spans="1:9">
      <c r="A436" s="4">
        <v>1435</v>
      </c>
      <c r="B436" s="5">
        <v>45802</v>
      </c>
      <c r="C436" s="4" t="s">
        <v>31</v>
      </c>
      <c r="D436" s="4" t="s">
        <v>26</v>
      </c>
      <c r="E436" s="4" t="s">
        <v>11</v>
      </c>
      <c r="F436" s="4" t="s">
        <v>27</v>
      </c>
      <c r="G436" s="4">
        <v>15</v>
      </c>
      <c r="H436" s="6">
        <v>8500</v>
      </c>
      <c r="I436" s="7">
        <v>0.12</v>
      </c>
    </row>
    <row r="437" spans="1:9">
      <c r="A437" s="8">
        <v>1436</v>
      </c>
      <c r="B437" s="9">
        <v>45791</v>
      </c>
      <c r="C437" s="8" t="s">
        <v>33</v>
      </c>
      <c r="D437" s="8" t="s">
        <v>10</v>
      </c>
      <c r="E437" s="8" t="s">
        <v>22</v>
      </c>
      <c r="F437" s="8" t="s">
        <v>24</v>
      </c>
      <c r="G437" s="8">
        <v>17</v>
      </c>
      <c r="H437" s="10">
        <v>2500</v>
      </c>
      <c r="I437" s="11">
        <v>0.1</v>
      </c>
    </row>
    <row r="438" spans="1:9">
      <c r="A438" s="4">
        <v>1437</v>
      </c>
      <c r="B438" s="5">
        <v>45898</v>
      </c>
      <c r="C438" s="4" t="s">
        <v>35</v>
      </c>
      <c r="D438" s="4" t="s">
        <v>36</v>
      </c>
      <c r="E438" s="4" t="s">
        <v>11</v>
      </c>
      <c r="F438" s="4" t="s">
        <v>23</v>
      </c>
      <c r="G438" s="4">
        <v>11</v>
      </c>
      <c r="H438" s="6">
        <v>3500</v>
      </c>
      <c r="I438" s="7">
        <v>0.05</v>
      </c>
    </row>
    <row r="439" spans="1:9">
      <c r="A439" s="8">
        <v>1438</v>
      </c>
      <c r="B439" s="9">
        <v>45869</v>
      </c>
      <c r="C439" s="8" t="s">
        <v>16</v>
      </c>
      <c r="D439" s="8" t="s">
        <v>10</v>
      </c>
      <c r="E439" s="8" t="s">
        <v>17</v>
      </c>
      <c r="F439" s="8" t="s">
        <v>18</v>
      </c>
      <c r="G439" s="8">
        <v>19</v>
      </c>
      <c r="H439" s="10">
        <v>55000</v>
      </c>
      <c r="I439" s="11">
        <v>0.05</v>
      </c>
    </row>
    <row r="440" spans="1:9">
      <c r="A440" s="4">
        <v>1439</v>
      </c>
      <c r="B440" s="5">
        <v>45791</v>
      </c>
      <c r="C440" s="4" t="s">
        <v>25</v>
      </c>
      <c r="D440" s="4" t="s">
        <v>26</v>
      </c>
      <c r="E440" s="4" t="s">
        <v>22</v>
      </c>
      <c r="F440" s="4" t="s">
        <v>27</v>
      </c>
      <c r="G440" s="4">
        <v>19</v>
      </c>
      <c r="H440" s="6">
        <v>11000</v>
      </c>
      <c r="I440" s="7">
        <v>0.12</v>
      </c>
    </row>
    <row r="441" spans="1:9">
      <c r="A441" s="8">
        <v>1440</v>
      </c>
      <c r="B441" s="9">
        <v>45736</v>
      </c>
      <c r="C441" s="8" t="s">
        <v>19</v>
      </c>
      <c r="D441" s="8" t="s">
        <v>10</v>
      </c>
      <c r="E441" s="8" t="s">
        <v>22</v>
      </c>
      <c r="F441" s="8" t="s">
        <v>12</v>
      </c>
      <c r="G441" s="8">
        <v>11</v>
      </c>
      <c r="H441" s="8">
        <v>800</v>
      </c>
      <c r="I441" s="11">
        <v>0.05</v>
      </c>
    </row>
    <row r="442" spans="1:9">
      <c r="A442" s="4">
        <v>1441</v>
      </c>
      <c r="B442" s="5">
        <v>45913</v>
      </c>
      <c r="C442" s="4" t="s">
        <v>25</v>
      </c>
      <c r="D442" s="4" t="s">
        <v>26</v>
      </c>
      <c r="E442" s="4" t="s">
        <v>22</v>
      </c>
      <c r="F442" s="4" t="s">
        <v>20</v>
      </c>
      <c r="G442" s="4">
        <v>11</v>
      </c>
      <c r="H442" s="6">
        <v>11000</v>
      </c>
      <c r="I442" s="7">
        <v>0.08</v>
      </c>
    </row>
    <row r="443" spans="1:9">
      <c r="A443" s="8">
        <v>1442</v>
      </c>
      <c r="B443" s="9">
        <v>45893</v>
      </c>
      <c r="C443" s="8" t="s">
        <v>13</v>
      </c>
      <c r="D443" s="8" t="s">
        <v>10</v>
      </c>
      <c r="E443" s="8" t="s">
        <v>17</v>
      </c>
      <c r="F443" s="8" t="s">
        <v>20</v>
      </c>
      <c r="G443" s="8">
        <v>12</v>
      </c>
      <c r="H443" s="10">
        <v>1200</v>
      </c>
      <c r="I443" s="11">
        <v>0.05</v>
      </c>
    </row>
    <row r="444" spans="1:9">
      <c r="A444" s="4">
        <v>1443</v>
      </c>
      <c r="B444" s="5">
        <v>45752</v>
      </c>
      <c r="C444" s="4" t="s">
        <v>37</v>
      </c>
      <c r="D444" s="4" t="s">
        <v>36</v>
      </c>
      <c r="E444" s="4" t="s">
        <v>14</v>
      </c>
      <c r="F444" s="4" t="s">
        <v>18</v>
      </c>
      <c r="G444" s="4">
        <v>18</v>
      </c>
      <c r="H444" s="6">
        <v>1800</v>
      </c>
      <c r="I444" s="7">
        <v>0.15</v>
      </c>
    </row>
    <row r="445" spans="1:9">
      <c r="A445" s="8">
        <v>1444</v>
      </c>
      <c r="B445" s="9">
        <v>45696</v>
      </c>
      <c r="C445" s="8" t="s">
        <v>38</v>
      </c>
      <c r="D445" s="8" t="s">
        <v>10</v>
      </c>
      <c r="E445" s="8" t="s">
        <v>22</v>
      </c>
      <c r="F445" s="8" t="s">
        <v>32</v>
      </c>
      <c r="G445" s="8">
        <v>2</v>
      </c>
      <c r="H445" s="10">
        <v>42000</v>
      </c>
      <c r="I445" s="11">
        <v>0</v>
      </c>
    </row>
    <row r="446" spans="1:9">
      <c r="A446" s="4">
        <v>1445</v>
      </c>
      <c r="B446" s="5">
        <v>45980</v>
      </c>
      <c r="C446" s="4" t="s">
        <v>19</v>
      </c>
      <c r="D446" s="4" t="s">
        <v>10</v>
      </c>
      <c r="E446" s="4" t="s">
        <v>17</v>
      </c>
      <c r="F446" s="4" t="s">
        <v>18</v>
      </c>
      <c r="G446" s="4">
        <v>3</v>
      </c>
      <c r="H446" s="4">
        <v>800</v>
      </c>
      <c r="I446" s="7">
        <v>0.15</v>
      </c>
    </row>
    <row r="447" spans="1:9">
      <c r="A447" s="8">
        <v>1446</v>
      </c>
      <c r="B447" s="9">
        <v>45769</v>
      </c>
      <c r="C447" s="8" t="s">
        <v>25</v>
      </c>
      <c r="D447" s="8" t="s">
        <v>26</v>
      </c>
      <c r="E447" s="8" t="s">
        <v>14</v>
      </c>
      <c r="F447" s="8" t="s">
        <v>20</v>
      </c>
      <c r="G447" s="8">
        <v>15</v>
      </c>
      <c r="H447" s="10">
        <v>11000</v>
      </c>
      <c r="I447" s="11">
        <v>0.08</v>
      </c>
    </row>
    <row r="448" spans="1:9">
      <c r="A448" s="4">
        <v>1447</v>
      </c>
      <c r="B448" s="5">
        <v>45995</v>
      </c>
      <c r="C448" s="4" t="s">
        <v>34</v>
      </c>
      <c r="D448" s="4" t="s">
        <v>26</v>
      </c>
      <c r="E448" s="4" t="s">
        <v>22</v>
      </c>
      <c r="F448" s="4" t="s">
        <v>18</v>
      </c>
      <c r="G448" s="4">
        <v>1</v>
      </c>
      <c r="H448" s="6">
        <v>15000</v>
      </c>
      <c r="I448" s="7">
        <v>0</v>
      </c>
    </row>
    <row r="449" spans="1:9">
      <c r="A449" s="8">
        <v>1448</v>
      </c>
      <c r="B449" s="9">
        <v>45666</v>
      </c>
      <c r="C449" s="8" t="s">
        <v>25</v>
      </c>
      <c r="D449" s="8" t="s">
        <v>26</v>
      </c>
      <c r="E449" s="8" t="s">
        <v>11</v>
      </c>
      <c r="F449" s="8" t="s">
        <v>18</v>
      </c>
      <c r="G449" s="8">
        <v>9</v>
      </c>
      <c r="H449" s="10">
        <v>11000</v>
      </c>
      <c r="I449" s="11">
        <v>0.12</v>
      </c>
    </row>
    <row r="450" spans="1:9">
      <c r="A450" s="4">
        <v>1449</v>
      </c>
      <c r="B450" s="5">
        <v>45915</v>
      </c>
      <c r="C450" s="4" t="s">
        <v>38</v>
      </c>
      <c r="D450" s="4" t="s">
        <v>10</v>
      </c>
      <c r="E450" s="4" t="s">
        <v>14</v>
      </c>
      <c r="F450" s="4" t="s">
        <v>24</v>
      </c>
      <c r="G450" s="4">
        <v>14</v>
      </c>
      <c r="H450" s="6">
        <v>42000</v>
      </c>
      <c r="I450" s="7">
        <v>0.05</v>
      </c>
    </row>
    <row r="451" spans="1:9">
      <c r="A451" s="8">
        <v>1450</v>
      </c>
      <c r="B451" s="9">
        <v>45926</v>
      </c>
      <c r="C451" s="8" t="s">
        <v>13</v>
      </c>
      <c r="D451" s="8" t="s">
        <v>10</v>
      </c>
      <c r="E451" s="8" t="s">
        <v>11</v>
      </c>
      <c r="F451" s="8" t="s">
        <v>23</v>
      </c>
      <c r="G451" s="8">
        <v>8</v>
      </c>
      <c r="H451" s="8">
        <v>0</v>
      </c>
      <c r="I451" s="11">
        <v>0.05</v>
      </c>
    </row>
    <row r="452" spans="1:9">
      <c r="A452" s="4">
        <v>1451</v>
      </c>
      <c r="B452" s="5">
        <v>45794</v>
      </c>
      <c r="C452" s="4" t="s">
        <v>35</v>
      </c>
      <c r="D452" s="4" t="s">
        <v>36</v>
      </c>
      <c r="E452" s="4" t="s">
        <v>11</v>
      </c>
      <c r="F452" s="4" t="s">
        <v>15</v>
      </c>
      <c r="G452" s="4">
        <v>13</v>
      </c>
      <c r="H452" s="6">
        <v>3500</v>
      </c>
      <c r="I452" s="7">
        <v>0</v>
      </c>
    </row>
    <row r="453" spans="1:9">
      <c r="A453" s="8">
        <v>1452</v>
      </c>
      <c r="B453" s="9">
        <v>45893</v>
      </c>
      <c r="C453" s="8" t="s">
        <v>28</v>
      </c>
      <c r="D453" s="8" t="s">
        <v>26</v>
      </c>
      <c r="E453" s="8" t="s">
        <v>17</v>
      </c>
      <c r="F453" s="8" t="s">
        <v>27</v>
      </c>
      <c r="G453" s="8">
        <v>8</v>
      </c>
      <c r="H453" s="10">
        <v>9000</v>
      </c>
      <c r="I453" s="11">
        <v>0.15</v>
      </c>
    </row>
    <row r="454" spans="1:9">
      <c r="A454" s="4">
        <v>1453</v>
      </c>
      <c r="B454" s="5">
        <v>46008</v>
      </c>
      <c r="C454" s="4" t="s">
        <v>38</v>
      </c>
      <c r="D454" s="4" t="s">
        <v>10</v>
      </c>
      <c r="E454" s="4" t="s">
        <v>14</v>
      </c>
      <c r="F454" s="4" t="s">
        <v>24</v>
      </c>
      <c r="G454" s="4">
        <v>3</v>
      </c>
      <c r="H454" s="6">
        <v>42000</v>
      </c>
      <c r="I454" s="7">
        <v>0.15</v>
      </c>
    </row>
    <row r="455" spans="1:9">
      <c r="A455" s="8">
        <v>1454</v>
      </c>
      <c r="B455" s="9">
        <v>45865</v>
      </c>
      <c r="C455" s="8" t="s">
        <v>31</v>
      </c>
      <c r="D455" s="8" t="s">
        <v>26</v>
      </c>
      <c r="E455" s="8" t="s">
        <v>22</v>
      </c>
      <c r="F455" s="8" t="s">
        <v>18</v>
      </c>
      <c r="G455" s="8">
        <v>13</v>
      </c>
      <c r="H455" s="10">
        <v>8500</v>
      </c>
      <c r="I455" s="11">
        <v>0.12</v>
      </c>
    </row>
    <row r="456" spans="1:9">
      <c r="A456" s="4">
        <v>1455</v>
      </c>
      <c r="B456" s="5">
        <v>45984</v>
      </c>
      <c r="C456" s="4" t="s">
        <v>16</v>
      </c>
      <c r="D456" s="4" t="s">
        <v>10</v>
      </c>
      <c r="E456" s="4" t="s">
        <v>22</v>
      </c>
      <c r="F456" s="4" t="s">
        <v>15</v>
      </c>
      <c r="G456" s="4">
        <v>6</v>
      </c>
      <c r="H456" s="6">
        <v>55000</v>
      </c>
      <c r="I456" s="7">
        <v>0</v>
      </c>
    </row>
    <row r="457" spans="1:9">
      <c r="A457" s="8">
        <v>1456</v>
      </c>
      <c r="B457" s="9">
        <v>45988</v>
      </c>
      <c r="C457" s="8" t="s">
        <v>35</v>
      </c>
      <c r="D457" s="8" t="s">
        <v>36</v>
      </c>
      <c r="E457" s="8" t="s">
        <v>14</v>
      </c>
      <c r="F457" s="8" t="s">
        <v>18</v>
      </c>
      <c r="G457" s="8">
        <v>11</v>
      </c>
      <c r="H457" s="10">
        <v>3500</v>
      </c>
      <c r="I457" s="11">
        <v>0.12</v>
      </c>
    </row>
    <row r="458" spans="1:9">
      <c r="A458" s="4">
        <v>1457</v>
      </c>
      <c r="B458" s="5">
        <v>45775</v>
      </c>
      <c r="C458" s="4" t="s">
        <v>19</v>
      </c>
      <c r="D458" s="4" t="s">
        <v>10</v>
      </c>
      <c r="E458" s="4" t="s">
        <v>11</v>
      </c>
      <c r="F458" s="4" t="s">
        <v>18</v>
      </c>
      <c r="G458" s="4">
        <v>19</v>
      </c>
      <c r="H458" s="4">
        <v>800</v>
      </c>
      <c r="I458" s="7">
        <v>0.1</v>
      </c>
    </row>
    <row r="459" spans="1:9">
      <c r="A459" s="8">
        <v>1458</v>
      </c>
      <c r="B459" s="9">
        <v>45696</v>
      </c>
      <c r="C459" s="8" t="s">
        <v>29</v>
      </c>
      <c r="D459" s="8" t="s">
        <v>30</v>
      </c>
      <c r="E459" s="8" t="s">
        <v>14</v>
      </c>
      <c r="F459" s="8" t="s">
        <v>32</v>
      </c>
      <c r="G459" s="8">
        <v>9</v>
      </c>
      <c r="H459" s="8">
        <v>250</v>
      </c>
      <c r="I459" s="11">
        <v>0.12</v>
      </c>
    </row>
    <row r="460" spans="1:9">
      <c r="A460" s="4">
        <v>1459</v>
      </c>
      <c r="B460" s="5">
        <v>45819</v>
      </c>
      <c r="C460" s="4" t="s">
        <v>16</v>
      </c>
      <c r="D460" s="4" t="s">
        <v>10</v>
      </c>
      <c r="E460" s="4" t="s">
        <v>17</v>
      </c>
      <c r="F460" s="4" t="s">
        <v>15</v>
      </c>
      <c r="G460" s="4">
        <v>7</v>
      </c>
      <c r="H460" s="6">
        <v>55000</v>
      </c>
      <c r="I460" s="7">
        <v>0.12</v>
      </c>
    </row>
    <row r="461" spans="1:9">
      <c r="A461" s="8">
        <v>1460</v>
      </c>
      <c r="B461" s="9">
        <v>45697</v>
      </c>
      <c r="C461" s="8" t="s">
        <v>21</v>
      </c>
      <c r="D461" s="8" t="s">
        <v>10</v>
      </c>
      <c r="E461" s="8" t="s">
        <v>17</v>
      </c>
      <c r="F461" s="8" t="s">
        <v>15</v>
      </c>
      <c r="G461" s="8">
        <v>6</v>
      </c>
      <c r="H461" s="10">
        <v>14000</v>
      </c>
      <c r="I461" s="11">
        <v>0.12</v>
      </c>
    </row>
    <row r="462" spans="1:9">
      <c r="A462" s="4">
        <v>1461</v>
      </c>
      <c r="B462" s="5">
        <v>46004</v>
      </c>
      <c r="C462" s="4" t="s">
        <v>37</v>
      </c>
      <c r="D462" s="4" t="s">
        <v>36</v>
      </c>
      <c r="E462" s="4" t="s">
        <v>22</v>
      </c>
      <c r="F462" s="4" t="s">
        <v>32</v>
      </c>
      <c r="G462" s="4">
        <v>18</v>
      </c>
      <c r="H462" s="6">
        <v>1800</v>
      </c>
      <c r="I462" s="7">
        <v>0.08</v>
      </c>
    </row>
    <row r="463" spans="1:9">
      <c r="A463" s="8">
        <v>1462</v>
      </c>
      <c r="B463" s="9">
        <v>46010</v>
      </c>
      <c r="C463" s="8" t="s">
        <v>39</v>
      </c>
      <c r="D463" s="8" t="s">
        <v>30</v>
      </c>
      <c r="E463" s="8" t="s">
        <v>11</v>
      </c>
      <c r="F463" s="8" t="s">
        <v>18</v>
      </c>
      <c r="G463" s="8">
        <v>3</v>
      </c>
      <c r="H463" s="8">
        <v>180</v>
      </c>
      <c r="I463" s="11">
        <v>0.12</v>
      </c>
    </row>
    <row r="464" spans="1:9">
      <c r="A464" s="4">
        <v>1463</v>
      </c>
      <c r="B464" s="5">
        <v>45708</v>
      </c>
      <c r="C464" s="4" t="s">
        <v>31</v>
      </c>
      <c r="D464" s="4" t="s">
        <v>26</v>
      </c>
      <c r="E464" s="4" t="s">
        <v>11</v>
      </c>
      <c r="F464" s="4" t="s">
        <v>15</v>
      </c>
      <c r="G464" s="4">
        <v>8</v>
      </c>
      <c r="H464" s="6">
        <v>8500</v>
      </c>
      <c r="I464" s="7">
        <v>0</v>
      </c>
    </row>
    <row r="465" spans="1:9">
      <c r="A465" s="8">
        <v>1464</v>
      </c>
      <c r="B465" s="9">
        <v>45825</v>
      </c>
      <c r="C465" s="8" t="s">
        <v>16</v>
      </c>
      <c r="D465" s="8" t="s">
        <v>10</v>
      </c>
      <c r="E465" s="8" t="s">
        <v>22</v>
      </c>
      <c r="F465" s="8" t="s">
        <v>12</v>
      </c>
      <c r="G465" s="8">
        <v>9</v>
      </c>
      <c r="H465" s="10">
        <v>55000</v>
      </c>
      <c r="I465" s="11">
        <v>0.1</v>
      </c>
    </row>
    <row r="466" spans="1:9">
      <c r="A466" s="4">
        <v>1465</v>
      </c>
      <c r="B466" s="5">
        <v>45840</v>
      </c>
      <c r="C466" s="4" t="s">
        <v>25</v>
      </c>
      <c r="D466" s="4" t="s">
        <v>26</v>
      </c>
      <c r="E466" s="4" t="s">
        <v>17</v>
      </c>
      <c r="F466" s="4" t="s">
        <v>15</v>
      </c>
      <c r="G466" s="4">
        <v>13</v>
      </c>
      <c r="H466" s="6">
        <v>11000</v>
      </c>
      <c r="I466" s="7">
        <v>0.1</v>
      </c>
    </row>
    <row r="467" spans="1:9">
      <c r="A467" s="8">
        <v>1466</v>
      </c>
      <c r="B467" s="9">
        <v>45701</v>
      </c>
      <c r="C467" s="8" t="s">
        <v>35</v>
      </c>
      <c r="D467" s="8" t="s">
        <v>36</v>
      </c>
      <c r="E467" s="8" t="s">
        <v>17</v>
      </c>
      <c r="F467" s="8" t="s">
        <v>24</v>
      </c>
      <c r="G467" s="8">
        <v>20</v>
      </c>
      <c r="H467" s="10">
        <v>3500</v>
      </c>
      <c r="I467" s="11">
        <v>0.08</v>
      </c>
    </row>
    <row r="468" spans="1:9">
      <c r="A468" s="4">
        <v>1467</v>
      </c>
      <c r="B468" s="5">
        <v>45700</v>
      </c>
      <c r="C468" s="4" t="s">
        <v>21</v>
      </c>
      <c r="D468" s="4" t="s">
        <v>10</v>
      </c>
      <c r="E468" s="4" t="s">
        <v>17</v>
      </c>
      <c r="F468" s="4" t="s">
        <v>15</v>
      </c>
      <c r="G468" s="4">
        <v>5</v>
      </c>
      <c r="H468" s="6">
        <v>14000</v>
      </c>
      <c r="I468" s="7">
        <v>0.1</v>
      </c>
    </row>
    <row r="469" spans="1:9">
      <c r="A469" s="8">
        <v>1468</v>
      </c>
      <c r="B469" s="9">
        <v>45820</v>
      </c>
      <c r="C469" s="8" t="s">
        <v>33</v>
      </c>
      <c r="D469" s="8" t="s">
        <v>10</v>
      </c>
      <c r="E469" s="8" t="s">
        <v>14</v>
      </c>
      <c r="F469" s="8" t="s">
        <v>27</v>
      </c>
      <c r="G469" s="8">
        <v>4</v>
      </c>
      <c r="H469" s="10">
        <v>2500</v>
      </c>
      <c r="I469" s="11">
        <v>0</v>
      </c>
    </row>
    <row r="470" spans="1:9">
      <c r="A470" s="4">
        <v>1469</v>
      </c>
      <c r="B470" s="5">
        <v>45885</v>
      </c>
      <c r="C470" s="4" t="s">
        <v>33</v>
      </c>
      <c r="D470" s="4" t="s">
        <v>10</v>
      </c>
      <c r="E470" s="4" t="s">
        <v>17</v>
      </c>
      <c r="F470" s="4" t="s">
        <v>24</v>
      </c>
      <c r="G470" s="4">
        <v>9</v>
      </c>
      <c r="H470" s="6">
        <v>2500</v>
      </c>
      <c r="I470" s="7">
        <v>0</v>
      </c>
    </row>
    <row r="471" spans="1:9">
      <c r="A471" s="8">
        <v>1470</v>
      </c>
      <c r="B471" s="9">
        <v>45753</v>
      </c>
      <c r="C471" s="8" t="s">
        <v>31</v>
      </c>
      <c r="D471" s="8" t="s">
        <v>26</v>
      </c>
      <c r="E471" s="8" t="s">
        <v>22</v>
      </c>
      <c r="F471" s="8" t="s">
        <v>24</v>
      </c>
      <c r="G471" s="8">
        <v>15</v>
      </c>
      <c r="H471" s="10">
        <v>8500</v>
      </c>
      <c r="I471" s="11">
        <v>0.12</v>
      </c>
    </row>
    <row r="472" spans="1:9">
      <c r="A472" s="4">
        <v>1471</v>
      </c>
      <c r="B472" s="5">
        <v>45671</v>
      </c>
      <c r="C472" s="4" t="s">
        <v>9</v>
      </c>
      <c r="D472" s="4" t="s">
        <v>10</v>
      </c>
      <c r="E472" s="4" t="s">
        <v>14</v>
      </c>
      <c r="F472" s="4" t="s">
        <v>23</v>
      </c>
      <c r="G472" s="4">
        <v>12</v>
      </c>
      <c r="H472" s="6">
        <v>18000</v>
      </c>
      <c r="I472" s="7">
        <v>0.12</v>
      </c>
    </row>
    <row r="473" spans="1:9">
      <c r="A473" s="8">
        <v>1472</v>
      </c>
      <c r="B473" s="9">
        <v>45855</v>
      </c>
      <c r="C473" s="8" t="s">
        <v>16</v>
      </c>
      <c r="D473" s="8" t="s">
        <v>10</v>
      </c>
      <c r="E473" s="8" t="s">
        <v>22</v>
      </c>
      <c r="F473" s="8" t="s">
        <v>24</v>
      </c>
      <c r="G473" s="8">
        <v>10</v>
      </c>
      <c r="H473" s="10">
        <v>55000</v>
      </c>
      <c r="I473" s="11">
        <v>0.1</v>
      </c>
    </row>
    <row r="474" spans="1:9">
      <c r="A474" s="4">
        <v>1473</v>
      </c>
      <c r="B474" s="5">
        <v>45944</v>
      </c>
      <c r="C474" s="4" t="s">
        <v>37</v>
      </c>
      <c r="D474" s="4" t="s">
        <v>36</v>
      </c>
      <c r="E474" s="4" t="s">
        <v>17</v>
      </c>
      <c r="F474" s="4" t="s">
        <v>15</v>
      </c>
      <c r="G474" s="4">
        <v>8</v>
      </c>
      <c r="H474" s="6">
        <v>1800</v>
      </c>
      <c r="I474" s="7">
        <v>0.12</v>
      </c>
    </row>
    <row r="475" spans="1:9">
      <c r="A475" s="8">
        <v>1474</v>
      </c>
      <c r="B475" s="9">
        <v>45744</v>
      </c>
      <c r="C475" s="8" t="s">
        <v>13</v>
      </c>
      <c r="D475" s="8" t="s">
        <v>10</v>
      </c>
      <c r="E475" s="8" t="s">
        <v>11</v>
      </c>
      <c r="F475" s="8" t="s">
        <v>20</v>
      </c>
      <c r="G475" s="8">
        <v>9</v>
      </c>
      <c r="H475" s="10">
        <v>1200</v>
      </c>
      <c r="I475" s="11">
        <v>0.08</v>
      </c>
    </row>
    <row r="476" spans="1:9">
      <c r="A476" s="4">
        <v>1475</v>
      </c>
      <c r="B476" s="5">
        <v>45732</v>
      </c>
      <c r="C476" s="4" t="s">
        <v>9</v>
      </c>
      <c r="D476" s="4" t="s">
        <v>10</v>
      </c>
      <c r="E476" s="4" t="s">
        <v>11</v>
      </c>
      <c r="F476" s="4" t="s">
        <v>15</v>
      </c>
      <c r="G476" s="4">
        <v>6</v>
      </c>
      <c r="H476" s="6">
        <v>18000</v>
      </c>
      <c r="I476" s="7">
        <v>0.1</v>
      </c>
    </row>
    <row r="477" spans="1:9">
      <c r="A477" s="8">
        <v>1476</v>
      </c>
      <c r="B477" s="9">
        <v>45811</v>
      </c>
      <c r="C477" s="8" t="s">
        <v>34</v>
      </c>
      <c r="D477" s="8" t="s">
        <v>26</v>
      </c>
      <c r="E477" s="8" t="s">
        <v>11</v>
      </c>
      <c r="F477" s="8" t="s">
        <v>12</v>
      </c>
      <c r="G477" s="8">
        <v>3</v>
      </c>
      <c r="H477" s="10">
        <v>15000</v>
      </c>
      <c r="I477" s="11">
        <v>0.08</v>
      </c>
    </row>
    <row r="478" spans="1:9">
      <c r="A478" s="4">
        <v>1477</v>
      </c>
      <c r="B478" s="5">
        <v>45978</v>
      </c>
      <c r="C478" s="4" t="s">
        <v>34</v>
      </c>
      <c r="D478" s="4" t="s">
        <v>26</v>
      </c>
      <c r="E478" s="4" t="s">
        <v>17</v>
      </c>
      <c r="F478" s="4" t="s">
        <v>20</v>
      </c>
      <c r="G478" s="4">
        <v>20</v>
      </c>
      <c r="H478" s="6">
        <v>15000</v>
      </c>
      <c r="I478" s="7">
        <v>0.12</v>
      </c>
    </row>
    <row r="479" spans="1:9">
      <c r="A479" s="8">
        <v>1478</v>
      </c>
      <c r="B479" s="9">
        <v>45712</v>
      </c>
      <c r="C479" s="8" t="s">
        <v>13</v>
      </c>
      <c r="D479" s="8" t="s">
        <v>10</v>
      </c>
      <c r="E479" s="8" t="s">
        <v>22</v>
      </c>
      <c r="F479" s="8" t="s">
        <v>23</v>
      </c>
      <c r="G479" s="8">
        <v>10</v>
      </c>
      <c r="H479" s="10">
        <v>1200</v>
      </c>
      <c r="I479" s="11">
        <v>0</v>
      </c>
    </row>
    <row r="480" spans="1:9">
      <c r="A480" s="4">
        <v>1479</v>
      </c>
      <c r="B480" s="5">
        <v>45975</v>
      </c>
      <c r="C480" s="4" t="s">
        <v>31</v>
      </c>
      <c r="D480" s="4" t="s">
        <v>26</v>
      </c>
      <c r="E480" s="4" t="s">
        <v>11</v>
      </c>
      <c r="F480" s="4" t="s">
        <v>15</v>
      </c>
      <c r="G480" s="4">
        <v>11</v>
      </c>
      <c r="H480" s="6">
        <v>8500</v>
      </c>
      <c r="I480" s="7">
        <v>0.1</v>
      </c>
    </row>
    <row r="481" spans="1:9">
      <c r="A481" s="8">
        <v>1480</v>
      </c>
      <c r="B481" s="9">
        <v>45991</v>
      </c>
      <c r="C481" s="8" t="s">
        <v>28</v>
      </c>
      <c r="D481" s="8" t="s">
        <v>26</v>
      </c>
      <c r="E481" s="8" t="s">
        <v>11</v>
      </c>
      <c r="F481" s="8" t="s">
        <v>12</v>
      </c>
      <c r="G481" s="8">
        <v>5</v>
      </c>
      <c r="H481" s="10">
        <v>9000</v>
      </c>
      <c r="I481" s="11">
        <v>0.08</v>
      </c>
    </row>
    <row r="482" spans="1:9">
      <c r="A482" s="4">
        <v>1481</v>
      </c>
      <c r="B482" s="5">
        <v>45903</v>
      </c>
      <c r="C482" s="4" t="s">
        <v>33</v>
      </c>
      <c r="D482" s="4" t="s">
        <v>10</v>
      </c>
      <c r="E482" s="4" t="s">
        <v>11</v>
      </c>
      <c r="F482" s="4" t="s">
        <v>27</v>
      </c>
      <c r="G482" s="4">
        <v>6</v>
      </c>
      <c r="H482" s="6">
        <v>2500</v>
      </c>
      <c r="I482" s="7">
        <v>0.1</v>
      </c>
    </row>
    <row r="483" spans="1:9">
      <c r="A483" s="8">
        <v>1482</v>
      </c>
      <c r="B483" s="9">
        <v>46013</v>
      </c>
      <c r="C483" s="8" t="s">
        <v>29</v>
      </c>
      <c r="D483" s="8" t="s">
        <v>30</v>
      </c>
      <c r="E483" s="8" t="s">
        <v>17</v>
      </c>
      <c r="F483" s="8" t="s">
        <v>23</v>
      </c>
      <c r="G483" s="8">
        <v>16</v>
      </c>
      <c r="H483" s="8">
        <v>250</v>
      </c>
      <c r="I483" s="11">
        <v>0.12</v>
      </c>
    </row>
    <row r="484" spans="1:9">
      <c r="A484" s="4">
        <v>1483</v>
      </c>
      <c r="B484" s="5">
        <v>45850</v>
      </c>
      <c r="C484" s="4" t="s">
        <v>21</v>
      </c>
      <c r="D484" s="4" t="s">
        <v>10</v>
      </c>
      <c r="E484" s="4" t="s">
        <v>14</v>
      </c>
      <c r="F484" s="4" t="s">
        <v>12</v>
      </c>
      <c r="G484" s="4">
        <v>13</v>
      </c>
      <c r="H484" s="6">
        <v>14000</v>
      </c>
      <c r="I484" s="7">
        <v>0.08</v>
      </c>
    </row>
    <row r="485" spans="1:9">
      <c r="A485" s="8">
        <v>1484</v>
      </c>
      <c r="B485" s="9">
        <v>45961</v>
      </c>
      <c r="C485" s="8" t="s">
        <v>25</v>
      </c>
      <c r="D485" s="8" t="s">
        <v>26</v>
      </c>
      <c r="E485" s="8" t="s">
        <v>14</v>
      </c>
      <c r="F485" s="8" t="s">
        <v>20</v>
      </c>
      <c r="G485" s="8">
        <v>6</v>
      </c>
      <c r="H485" s="10">
        <v>11000</v>
      </c>
      <c r="I485" s="11">
        <v>0.15</v>
      </c>
    </row>
    <row r="486" spans="1:9">
      <c r="A486" s="4">
        <v>1485</v>
      </c>
      <c r="B486" s="5">
        <v>46020</v>
      </c>
      <c r="C486" s="4" t="s">
        <v>19</v>
      </c>
      <c r="D486" s="4" t="s">
        <v>10</v>
      </c>
      <c r="E486" s="4" t="s">
        <v>14</v>
      </c>
      <c r="F486" s="4" t="s">
        <v>15</v>
      </c>
      <c r="G486" s="4">
        <v>15</v>
      </c>
      <c r="H486" s="4">
        <v>800</v>
      </c>
      <c r="I486" s="7">
        <v>0.08</v>
      </c>
    </row>
    <row r="487" spans="1:9">
      <c r="A487" s="8">
        <v>1486</v>
      </c>
      <c r="B487" s="9">
        <v>46002</v>
      </c>
      <c r="C487" s="8" t="s">
        <v>34</v>
      </c>
      <c r="D487" s="8" t="s">
        <v>26</v>
      </c>
      <c r="E487" s="8" t="s">
        <v>11</v>
      </c>
      <c r="F487" s="8" t="s">
        <v>12</v>
      </c>
      <c r="G487" s="8">
        <v>5</v>
      </c>
      <c r="H487" s="10">
        <v>15000</v>
      </c>
      <c r="I487" s="11">
        <v>0.15</v>
      </c>
    </row>
    <row r="488" spans="1:9">
      <c r="A488" s="4">
        <v>1487</v>
      </c>
      <c r="B488" s="5">
        <v>45787</v>
      </c>
      <c r="C488" s="4" t="s">
        <v>29</v>
      </c>
      <c r="D488" s="4" t="s">
        <v>30</v>
      </c>
      <c r="E488" s="4" t="s">
        <v>22</v>
      </c>
      <c r="F488" s="4" t="s">
        <v>15</v>
      </c>
      <c r="G488" s="4">
        <v>5</v>
      </c>
      <c r="H488" s="4">
        <v>250</v>
      </c>
      <c r="I488" s="7">
        <v>0.15</v>
      </c>
    </row>
    <row r="489" spans="1:9">
      <c r="A489" s="8">
        <v>1488</v>
      </c>
      <c r="B489" s="9">
        <v>45695</v>
      </c>
      <c r="C489" s="8" t="s">
        <v>34</v>
      </c>
      <c r="D489" s="8" t="s">
        <v>26</v>
      </c>
      <c r="E489" s="8" t="s">
        <v>22</v>
      </c>
      <c r="F489" s="8" t="s">
        <v>15</v>
      </c>
      <c r="G489" s="8">
        <v>20</v>
      </c>
      <c r="H489" s="10">
        <v>15000</v>
      </c>
      <c r="I489" s="11">
        <v>0.1</v>
      </c>
    </row>
    <row r="490" spans="1:9">
      <c r="A490" s="4">
        <v>1489</v>
      </c>
      <c r="B490" s="5">
        <v>45936</v>
      </c>
      <c r="C490" s="4" t="s">
        <v>16</v>
      </c>
      <c r="D490" s="4" t="s">
        <v>10</v>
      </c>
      <c r="E490" s="4" t="s">
        <v>14</v>
      </c>
      <c r="F490" s="4" t="s">
        <v>24</v>
      </c>
      <c r="G490" s="4">
        <v>12</v>
      </c>
      <c r="H490" s="6">
        <v>55000</v>
      </c>
      <c r="I490" s="7">
        <v>0.15</v>
      </c>
    </row>
    <row r="491" spans="1:9">
      <c r="A491" s="8">
        <v>1490</v>
      </c>
      <c r="B491" s="9">
        <v>45785</v>
      </c>
      <c r="C491" s="8" t="s">
        <v>29</v>
      </c>
      <c r="D491" s="8" t="s">
        <v>30</v>
      </c>
      <c r="E491" s="8" t="s">
        <v>14</v>
      </c>
      <c r="F491" s="8" t="s">
        <v>15</v>
      </c>
      <c r="G491" s="8">
        <v>12</v>
      </c>
      <c r="H491" s="8">
        <v>250</v>
      </c>
      <c r="I491" s="11">
        <v>0.05</v>
      </c>
    </row>
    <row r="492" spans="1:9">
      <c r="A492" s="4">
        <v>1491</v>
      </c>
      <c r="B492" s="5">
        <v>45827</v>
      </c>
      <c r="C492" s="4" t="s">
        <v>35</v>
      </c>
      <c r="D492" s="4" t="s">
        <v>36</v>
      </c>
      <c r="E492" s="4" t="s">
        <v>14</v>
      </c>
      <c r="F492" s="4" t="s">
        <v>24</v>
      </c>
      <c r="G492" s="4">
        <v>14</v>
      </c>
      <c r="H492" s="6">
        <v>3500</v>
      </c>
      <c r="I492" s="7">
        <v>0</v>
      </c>
    </row>
    <row r="493" spans="1:9">
      <c r="A493" s="8">
        <v>1492</v>
      </c>
      <c r="B493" s="9">
        <v>45790</v>
      </c>
      <c r="C493" s="8" t="s">
        <v>19</v>
      </c>
      <c r="D493" s="8" t="s">
        <v>10</v>
      </c>
      <c r="E493" s="8" t="s">
        <v>17</v>
      </c>
      <c r="F493" s="8" t="s">
        <v>20</v>
      </c>
      <c r="G493" s="8">
        <v>17</v>
      </c>
      <c r="H493" s="8">
        <v>800</v>
      </c>
      <c r="I493" s="11">
        <v>0.15</v>
      </c>
    </row>
    <row r="494" spans="1:9">
      <c r="A494" s="4">
        <v>1493</v>
      </c>
      <c r="B494" s="5">
        <v>45849</v>
      </c>
      <c r="C494" s="4" t="s">
        <v>31</v>
      </c>
      <c r="D494" s="4" t="s">
        <v>26</v>
      </c>
      <c r="E494" s="4" t="s">
        <v>17</v>
      </c>
      <c r="F494" s="4" t="s">
        <v>23</v>
      </c>
      <c r="G494" s="4">
        <v>15</v>
      </c>
      <c r="H494" s="6">
        <v>8500</v>
      </c>
      <c r="I494" s="7">
        <v>0.15</v>
      </c>
    </row>
    <row r="495" spans="1:9">
      <c r="A495" s="8">
        <v>1494</v>
      </c>
      <c r="B495" s="9">
        <v>45670</v>
      </c>
      <c r="C495" s="8" t="s">
        <v>34</v>
      </c>
      <c r="D495" s="8" t="s">
        <v>26</v>
      </c>
      <c r="E495" s="8" t="s">
        <v>22</v>
      </c>
      <c r="F495" s="8" t="s">
        <v>24</v>
      </c>
      <c r="G495" s="8">
        <v>4</v>
      </c>
      <c r="H495" s="10">
        <v>15000</v>
      </c>
      <c r="I495" s="11">
        <v>0.08</v>
      </c>
    </row>
    <row r="496" spans="1:9">
      <c r="A496" s="4">
        <v>1495</v>
      </c>
      <c r="B496" s="5">
        <v>45717</v>
      </c>
      <c r="C496" s="4" t="s">
        <v>38</v>
      </c>
      <c r="D496" s="4" t="s">
        <v>10</v>
      </c>
      <c r="E496" s="4" t="s">
        <v>11</v>
      </c>
      <c r="F496" s="4" t="s">
        <v>23</v>
      </c>
      <c r="G496" s="4">
        <v>5</v>
      </c>
      <c r="H496" s="6">
        <v>42000</v>
      </c>
      <c r="I496" s="7">
        <v>0.08</v>
      </c>
    </row>
    <row r="497" spans="1:9">
      <c r="A497" s="8">
        <v>1496</v>
      </c>
      <c r="B497" s="9">
        <v>45891</v>
      </c>
      <c r="C497" s="8" t="s">
        <v>35</v>
      </c>
      <c r="D497" s="8" t="s">
        <v>36</v>
      </c>
      <c r="E497" s="8" t="s">
        <v>22</v>
      </c>
      <c r="F497" s="8" t="s">
        <v>23</v>
      </c>
      <c r="G497" s="8">
        <v>7</v>
      </c>
      <c r="H497" s="10">
        <v>3500</v>
      </c>
      <c r="I497" s="11">
        <v>0.12</v>
      </c>
    </row>
    <row r="498" spans="1:9">
      <c r="A498" s="4">
        <v>1497</v>
      </c>
      <c r="B498" s="5">
        <v>45901</v>
      </c>
      <c r="C498" s="4" t="s">
        <v>9</v>
      </c>
      <c r="D498" s="4" t="s">
        <v>10</v>
      </c>
      <c r="E498" s="4" t="s">
        <v>22</v>
      </c>
      <c r="F498" s="4" t="s">
        <v>23</v>
      </c>
      <c r="G498" s="4">
        <v>15</v>
      </c>
      <c r="H498" s="6">
        <v>18000</v>
      </c>
      <c r="I498" s="7">
        <v>0.15</v>
      </c>
    </row>
    <row r="499" spans="1:9">
      <c r="A499" s="8">
        <v>1498</v>
      </c>
      <c r="B499" s="9">
        <v>45692</v>
      </c>
      <c r="C499" s="8" t="s">
        <v>21</v>
      </c>
      <c r="D499" s="8" t="s">
        <v>10</v>
      </c>
      <c r="E499" s="8" t="s">
        <v>14</v>
      </c>
      <c r="F499" s="8" t="s">
        <v>18</v>
      </c>
      <c r="G499" s="8">
        <v>2</v>
      </c>
      <c r="H499" s="10">
        <v>14000</v>
      </c>
      <c r="I499" s="11">
        <v>0.15</v>
      </c>
    </row>
    <row r="500" spans="1:9">
      <c r="A500" s="4">
        <v>1499</v>
      </c>
      <c r="B500" s="5">
        <v>45833</v>
      </c>
      <c r="C500" s="4" t="s">
        <v>29</v>
      </c>
      <c r="D500" s="4" t="s">
        <v>30</v>
      </c>
      <c r="E500" s="4" t="s">
        <v>17</v>
      </c>
      <c r="F500" s="4" t="s">
        <v>12</v>
      </c>
      <c r="G500" s="4">
        <v>4</v>
      </c>
      <c r="H500" s="4">
        <v>250</v>
      </c>
      <c r="I500" s="7">
        <v>0.15</v>
      </c>
    </row>
    <row r="501" spans="1:9">
      <c r="A501" s="8">
        <v>1500</v>
      </c>
      <c r="B501" s="9">
        <v>45922</v>
      </c>
      <c r="C501" s="8" t="s">
        <v>13</v>
      </c>
      <c r="D501" s="8" t="s">
        <v>10</v>
      </c>
      <c r="E501" s="8" t="s">
        <v>11</v>
      </c>
      <c r="F501" s="8" t="s">
        <v>15</v>
      </c>
      <c r="G501" s="8">
        <v>18</v>
      </c>
      <c r="H501" s="10">
        <v>1200</v>
      </c>
      <c r="I501" s="11">
        <v>0.05</v>
      </c>
    </row>
    <row r="502" spans="1:9">
      <c r="A502" s="4">
        <v>1501</v>
      </c>
      <c r="B502" s="5">
        <v>45894</v>
      </c>
      <c r="C502" s="4" t="s">
        <v>19</v>
      </c>
      <c r="D502" s="4" t="s">
        <v>10</v>
      </c>
      <c r="E502" s="4" t="s">
        <v>17</v>
      </c>
      <c r="F502" s="4" t="s">
        <v>32</v>
      </c>
      <c r="G502" s="4">
        <v>13</v>
      </c>
      <c r="H502" s="4">
        <v>800</v>
      </c>
      <c r="I502" s="7">
        <v>0.15</v>
      </c>
    </row>
    <row r="503" spans="1:9">
      <c r="A503" s="8">
        <v>1502</v>
      </c>
      <c r="B503" s="9">
        <v>45985</v>
      </c>
      <c r="C503" s="8" t="s">
        <v>29</v>
      </c>
      <c r="D503" s="8" t="s">
        <v>30</v>
      </c>
      <c r="E503" s="8" t="s">
        <v>14</v>
      </c>
      <c r="F503" s="8" t="s">
        <v>12</v>
      </c>
      <c r="G503" s="8">
        <v>14</v>
      </c>
      <c r="H503" s="8">
        <v>250</v>
      </c>
      <c r="I503" s="11">
        <v>0.1</v>
      </c>
    </row>
    <row r="504" spans="1:9">
      <c r="A504" s="4">
        <v>1503</v>
      </c>
      <c r="B504" s="5">
        <v>45888</v>
      </c>
      <c r="C504" s="4" t="s">
        <v>28</v>
      </c>
      <c r="D504" s="4" t="s">
        <v>26</v>
      </c>
      <c r="E504" s="4" t="s">
        <v>14</v>
      </c>
      <c r="F504" s="4" t="s">
        <v>12</v>
      </c>
      <c r="G504" s="4">
        <v>14</v>
      </c>
      <c r="H504" s="6">
        <v>9000</v>
      </c>
      <c r="I504" s="7">
        <v>0.1</v>
      </c>
    </row>
    <row r="505" spans="1:9">
      <c r="A505" s="8">
        <v>1504</v>
      </c>
      <c r="B505" s="9">
        <v>45763</v>
      </c>
      <c r="C505" s="8" t="s">
        <v>21</v>
      </c>
      <c r="D505" s="8" t="s">
        <v>10</v>
      </c>
      <c r="E505" s="8" t="s">
        <v>14</v>
      </c>
      <c r="F505" s="8" t="s">
        <v>32</v>
      </c>
      <c r="G505" s="8">
        <v>3</v>
      </c>
      <c r="H505" s="10">
        <v>14000</v>
      </c>
      <c r="I505" s="11">
        <v>0.12</v>
      </c>
    </row>
    <row r="506" spans="1:9">
      <c r="A506" s="4">
        <v>1505</v>
      </c>
      <c r="B506" s="5">
        <v>45845</v>
      </c>
      <c r="C506" s="4" t="s">
        <v>33</v>
      </c>
      <c r="D506" s="4" t="s">
        <v>10</v>
      </c>
      <c r="E506" s="4" t="s">
        <v>14</v>
      </c>
      <c r="F506" s="4" t="s">
        <v>27</v>
      </c>
      <c r="G506" s="4">
        <v>7</v>
      </c>
      <c r="H506" s="6">
        <v>2500</v>
      </c>
      <c r="I506" s="7">
        <v>0.1</v>
      </c>
    </row>
    <row r="507" spans="1:9">
      <c r="A507" s="8">
        <v>1506</v>
      </c>
      <c r="B507" s="9">
        <v>46001</v>
      </c>
      <c r="C507" s="8" t="s">
        <v>38</v>
      </c>
      <c r="D507" s="8" t="s">
        <v>10</v>
      </c>
      <c r="E507" s="8" t="s">
        <v>11</v>
      </c>
      <c r="F507" s="8" t="s">
        <v>15</v>
      </c>
      <c r="G507" s="8">
        <v>16</v>
      </c>
      <c r="H507" s="10">
        <v>42000</v>
      </c>
      <c r="I507" s="11">
        <v>0.12</v>
      </c>
    </row>
    <row r="508" spans="1:9">
      <c r="A508" s="4">
        <v>1507</v>
      </c>
      <c r="B508" s="5">
        <v>45970</v>
      </c>
      <c r="C508" s="4" t="s">
        <v>31</v>
      </c>
      <c r="D508" s="4" t="s">
        <v>26</v>
      </c>
      <c r="E508" s="4" t="s">
        <v>11</v>
      </c>
      <c r="F508" s="4" t="s">
        <v>23</v>
      </c>
      <c r="G508" s="4">
        <v>19</v>
      </c>
      <c r="H508" s="6">
        <v>8500</v>
      </c>
      <c r="I508" s="7">
        <v>0</v>
      </c>
    </row>
    <row r="509" spans="1:9">
      <c r="A509" s="8">
        <v>1508</v>
      </c>
      <c r="B509" s="9">
        <v>45892</v>
      </c>
      <c r="C509" s="8" t="s">
        <v>28</v>
      </c>
      <c r="D509" s="8" t="s">
        <v>26</v>
      </c>
      <c r="E509" s="8" t="s">
        <v>11</v>
      </c>
      <c r="F509" s="8" t="s">
        <v>24</v>
      </c>
      <c r="G509" s="8">
        <v>6</v>
      </c>
      <c r="H509" s="10">
        <v>9000</v>
      </c>
      <c r="I509" s="11">
        <v>0.15</v>
      </c>
    </row>
    <row r="510" spans="1:9">
      <c r="A510" s="4">
        <v>1509</v>
      </c>
      <c r="B510" s="5">
        <v>46002</v>
      </c>
      <c r="C510" s="4" t="s">
        <v>13</v>
      </c>
      <c r="D510" s="4" t="s">
        <v>10</v>
      </c>
      <c r="E510" s="4" t="s">
        <v>17</v>
      </c>
      <c r="F510" s="4" t="s">
        <v>27</v>
      </c>
      <c r="G510" s="4">
        <v>11</v>
      </c>
      <c r="H510" s="6">
        <v>1200</v>
      </c>
      <c r="I510" s="7">
        <v>0</v>
      </c>
    </row>
    <row r="511" spans="1:9">
      <c r="A511" s="8">
        <v>1510</v>
      </c>
      <c r="B511" s="9">
        <v>45717</v>
      </c>
      <c r="C511" s="8" t="s">
        <v>13</v>
      </c>
      <c r="D511" s="8" t="s">
        <v>10</v>
      </c>
      <c r="E511" s="8" t="s">
        <v>17</v>
      </c>
      <c r="F511" s="8" t="s">
        <v>15</v>
      </c>
      <c r="G511" s="8">
        <v>12</v>
      </c>
      <c r="H511" s="10">
        <v>1200</v>
      </c>
      <c r="I511" s="11">
        <v>0.15</v>
      </c>
    </row>
    <row r="512" spans="1:9">
      <c r="A512" s="4">
        <v>1511</v>
      </c>
      <c r="B512" s="5">
        <v>45872</v>
      </c>
      <c r="C512" s="4" t="s">
        <v>28</v>
      </c>
      <c r="D512" s="4" t="s">
        <v>26</v>
      </c>
      <c r="E512" s="4" t="s">
        <v>22</v>
      </c>
      <c r="F512" s="4" t="s">
        <v>15</v>
      </c>
      <c r="G512" s="4">
        <v>5</v>
      </c>
      <c r="H512" s="6">
        <v>9000</v>
      </c>
      <c r="I512" s="7">
        <v>0.12</v>
      </c>
    </row>
    <row r="513" spans="1:9">
      <c r="A513" s="8">
        <v>1512</v>
      </c>
      <c r="B513" s="9">
        <v>45753</v>
      </c>
      <c r="C513" s="8" t="s">
        <v>34</v>
      </c>
      <c r="D513" s="8" t="s">
        <v>26</v>
      </c>
      <c r="E513" s="8" t="s">
        <v>17</v>
      </c>
      <c r="F513" s="8" t="s">
        <v>32</v>
      </c>
      <c r="G513" s="8">
        <v>18</v>
      </c>
      <c r="H513" s="10">
        <v>15000</v>
      </c>
      <c r="I513" s="11">
        <v>0.15</v>
      </c>
    </row>
    <row r="514" spans="1:9">
      <c r="A514" s="4">
        <v>1513</v>
      </c>
      <c r="B514" s="5">
        <v>45908</v>
      </c>
      <c r="C514" s="4" t="s">
        <v>21</v>
      </c>
      <c r="D514" s="4" t="s">
        <v>10</v>
      </c>
      <c r="E514" s="4" t="s">
        <v>11</v>
      </c>
      <c r="F514" s="4" t="s">
        <v>20</v>
      </c>
      <c r="G514" s="4">
        <v>5</v>
      </c>
      <c r="H514" s="6">
        <v>14000</v>
      </c>
      <c r="I514" s="7">
        <v>0.05</v>
      </c>
    </row>
    <row r="515" spans="1:9">
      <c r="A515" s="8">
        <v>1514</v>
      </c>
      <c r="B515" s="9">
        <v>45975</v>
      </c>
      <c r="C515" s="8" t="s">
        <v>16</v>
      </c>
      <c r="D515" s="8" t="s">
        <v>10</v>
      </c>
      <c r="E515" s="8" t="s">
        <v>22</v>
      </c>
      <c r="F515" s="8" t="s">
        <v>32</v>
      </c>
      <c r="G515" s="8">
        <v>12</v>
      </c>
      <c r="H515" s="10">
        <v>55000</v>
      </c>
      <c r="I515" s="11">
        <v>0</v>
      </c>
    </row>
    <row r="516" spans="1:9">
      <c r="A516" s="4">
        <v>1515</v>
      </c>
      <c r="B516" s="5">
        <v>45757</v>
      </c>
      <c r="C516" s="4" t="s">
        <v>38</v>
      </c>
      <c r="D516" s="4" t="s">
        <v>10</v>
      </c>
      <c r="E516" s="4" t="s">
        <v>22</v>
      </c>
      <c r="F516" s="4" t="s">
        <v>15</v>
      </c>
      <c r="G516" s="4">
        <v>13</v>
      </c>
      <c r="H516" s="6">
        <v>42000</v>
      </c>
      <c r="I516" s="7">
        <v>0.12</v>
      </c>
    </row>
    <row r="517" spans="1:9">
      <c r="A517" s="8">
        <v>1516</v>
      </c>
      <c r="B517" s="9">
        <v>46008</v>
      </c>
      <c r="C517" s="8" t="s">
        <v>34</v>
      </c>
      <c r="D517" s="8" t="s">
        <v>26</v>
      </c>
      <c r="E517" s="8" t="s">
        <v>22</v>
      </c>
      <c r="F517" s="8" t="s">
        <v>20</v>
      </c>
      <c r="G517" s="8">
        <v>14</v>
      </c>
      <c r="H517" s="10">
        <v>15000</v>
      </c>
      <c r="I517" s="11">
        <v>0.15</v>
      </c>
    </row>
    <row r="518" spans="1:9">
      <c r="A518" s="4">
        <v>1517</v>
      </c>
      <c r="B518" s="5">
        <v>45743</v>
      </c>
      <c r="C518" s="4" t="s">
        <v>9</v>
      </c>
      <c r="D518" s="4" t="s">
        <v>10</v>
      </c>
      <c r="E518" s="4" t="s">
        <v>17</v>
      </c>
      <c r="F518" s="4" t="s">
        <v>27</v>
      </c>
      <c r="G518" s="4">
        <v>19</v>
      </c>
      <c r="H518" s="6">
        <v>18000</v>
      </c>
      <c r="I518" s="7">
        <v>0</v>
      </c>
    </row>
    <row r="519" spans="1:9">
      <c r="A519" s="8">
        <v>1518</v>
      </c>
      <c r="B519" s="9">
        <v>45674</v>
      </c>
      <c r="C519" s="8" t="s">
        <v>21</v>
      </c>
      <c r="D519" s="8" t="s">
        <v>10</v>
      </c>
      <c r="E519" s="8" t="s">
        <v>11</v>
      </c>
      <c r="F519" s="8" t="s">
        <v>32</v>
      </c>
      <c r="G519" s="8">
        <v>8</v>
      </c>
      <c r="H519" s="10">
        <v>14000</v>
      </c>
      <c r="I519" s="11">
        <v>0.12</v>
      </c>
    </row>
    <row r="520" spans="1:9">
      <c r="A520" s="4">
        <v>1519</v>
      </c>
      <c r="B520" s="5">
        <v>45892</v>
      </c>
      <c r="C520" s="4" t="s">
        <v>28</v>
      </c>
      <c r="D520" s="4" t="s">
        <v>26</v>
      </c>
      <c r="E520" s="4" t="s">
        <v>14</v>
      </c>
      <c r="F520" s="4" t="s">
        <v>24</v>
      </c>
      <c r="G520" s="4">
        <v>16</v>
      </c>
      <c r="H520" s="6">
        <v>9000</v>
      </c>
      <c r="I520" s="7">
        <v>0.12</v>
      </c>
    </row>
    <row r="521" spans="1:9">
      <c r="A521" s="8">
        <v>1520</v>
      </c>
      <c r="B521" s="9">
        <v>45795</v>
      </c>
      <c r="C521" s="8" t="s">
        <v>35</v>
      </c>
      <c r="D521" s="8" t="s">
        <v>36</v>
      </c>
      <c r="E521" s="8" t="s">
        <v>14</v>
      </c>
      <c r="F521" s="8" t="s">
        <v>20</v>
      </c>
      <c r="G521" s="8">
        <v>18</v>
      </c>
      <c r="H521" s="10">
        <v>3500</v>
      </c>
      <c r="I521" s="11">
        <v>0.08</v>
      </c>
    </row>
    <row r="522" spans="1:9">
      <c r="A522" s="4">
        <v>1521</v>
      </c>
      <c r="B522" s="5">
        <v>45937</v>
      </c>
      <c r="C522" s="4" t="s">
        <v>19</v>
      </c>
      <c r="D522" s="4" t="s">
        <v>10</v>
      </c>
      <c r="E522" s="4" t="s">
        <v>17</v>
      </c>
      <c r="F522" s="4" t="s">
        <v>27</v>
      </c>
      <c r="G522" s="4">
        <v>14</v>
      </c>
      <c r="H522" s="4">
        <v>800</v>
      </c>
      <c r="I522" s="7">
        <v>0</v>
      </c>
    </row>
    <row r="523" spans="1:9">
      <c r="A523" s="8">
        <v>1522</v>
      </c>
      <c r="B523" s="9">
        <v>45674</v>
      </c>
      <c r="C523" s="8" t="s">
        <v>34</v>
      </c>
      <c r="D523" s="8" t="s">
        <v>26</v>
      </c>
      <c r="E523" s="8" t="s">
        <v>14</v>
      </c>
      <c r="F523" s="8" t="s">
        <v>20</v>
      </c>
      <c r="G523" s="8">
        <v>9</v>
      </c>
      <c r="H523" s="10">
        <v>15000</v>
      </c>
      <c r="I523" s="11">
        <v>0.08</v>
      </c>
    </row>
    <row r="524" spans="1:9">
      <c r="A524" s="4">
        <v>1523</v>
      </c>
      <c r="B524" s="5">
        <v>45718</v>
      </c>
      <c r="C524" s="4" t="s">
        <v>35</v>
      </c>
      <c r="D524" s="4" t="s">
        <v>36</v>
      </c>
      <c r="E524" s="4" t="s">
        <v>11</v>
      </c>
      <c r="F524" s="4" t="s">
        <v>15</v>
      </c>
      <c r="G524" s="4">
        <v>8</v>
      </c>
      <c r="H524" s="6">
        <v>3500</v>
      </c>
      <c r="I524" s="7">
        <v>0.05</v>
      </c>
    </row>
    <row r="525" spans="1:9">
      <c r="A525" s="8">
        <v>1524</v>
      </c>
      <c r="B525" s="9">
        <v>45742</v>
      </c>
      <c r="C525" s="8" t="s">
        <v>28</v>
      </c>
      <c r="D525" s="8" t="s">
        <v>26</v>
      </c>
      <c r="E525" s="8" t="s">
        <v>17</v>
      </c>
      <c r="F525" s="8" t="s">
        <v>18</v>
      </c>
      <c r="G525" s="8">
        <v>5</v>
      </c>
      <c r="H525" s="10">
        <v>9000</v>
      </c>
      <c r="I525" s="11">
        <v>0.05</v>
      </c>
    </row>
    <row r="526" spans="1:9">
      <c r="A526" s="4">
        <v>1525</v>
      </c>
      <c r="B526" s="5">
        <v>45949</v>
      </c>
      <c r="C526" s="4" t="s">
        <v>33</v>
      </c>
      <c r="D526" s="4" t="s">
        <v>10</v>
      </c>
      <c r="E526" s="4" t="s">
        <v>17</v>
      </c>
      <c r="F526" s="4" t="s">
        <v>23</v>
      </c>
      <c r="G526" s="4">
        <v>18</v>
      </c>
      <c r="H526" s="6">
        <v>2500</v>
      </c>
      <c r="I526" s="7">
        <v>0.5</v>
      </c>
    </row>
    <row r="527" spans="1:9">
      <c r="A527" s="8">
        <v>1526</v>
      </c>
      <c r="B527" s="9">
        <v>46018</v>
      </c>
      <c r="C527" s="8" t="s">
        <v>21</v>
      </c>
      <c r="D527" s="8" t="s">
        <v>10</v>
      </c>
      <c r="E527" s="8" t="s">
        <v>11</v>
      </c>
      <c r="F527" s="8" t="s">
        <v>24</v>
      </c>
      <c r="G527" s="8">
        <v>10</v>
      </c>
      <c r="H527" s="10">
        <v>14000</v>
      </c>
      <c r="I527" s="11">
        <v>0.12</v>
      </c>
    </row>
    <row r="528" spans="1:9">
      <c r="A528" s="4">
        <v>1527</v>
      </c>
      <c r="B528" s="5">
        <v>45727</v>
      </c>
      <c r="C528" s="4" t="s">
        <v>35</v>
      </c>
      <c r="D528" s="4" t="s">
        <v>36</v>
      </c>
      <c r="E528" s="4" t="s">
        <v>11</v>
      </c>
      <c r="F528" s="4" t="s">
        <v>32</v>
      </c>
      <c r="G528" s="4">
        <v>14</v>
      </c>
      <c r="H528" s="6">
        <v>3500</v>
      </c>
      <c r="I528" s="7">
        <v>0</v>
      </c>
    </row>
    <row r="529" spans="1:9">
      <c r="A529" s="8">
        <v>1528</v>
      </c>
      <c r="B529" s="9">
        <v>46017</v>
      </c>
      <c r="C529" s="8" t="s">
        <v>38</v>
      </c>
      <c r="D529" s="8" t="s">
        <v>10</v>
      </c>
      <c r="E529" s="8" t="s">
        <v>17</v>
      </c>
      <c r="F529" s="8" t="s">
        <v>23</v>
      </c>
      <c r="G529" s="8">
        <v>5</v>
      </c>
      <c r="H529" s="10">
        <v>42000</v>
      </c>
      <c r="I529" s="11">
        <v>0.05</v>
      </c>
    </row>
    <row r="530" spans="1:9">
      <c r="A530" s="4">
        <v>1529</v>
      </c>
      <c r="B530" s="5">
        <v>45784</v>
      </c>
      <c r="C530" s="4" t="s">
        <v>35</v>
      </c>
      <c r="D530" s="4" t="s">
        <v>36</v>
      </c>
      <c r="E530" s="4" t="s">
        <v>17</v>
      </c>
      <c r="F530" s="4" t="s">
        <v>27</v>
      </c>
      <c r="G530" s="4">
        <v>13</v>
      </c>
      <c r="H530" s="6">
        <v>3500</v>
      </c>
      <c r="I530" s="7">
        <v>0.1</v>
      </c>
    </row>
    <row r="531" spans="1:9">
      <c r="A531" s="8">
        <v>1530</v>
      </c>
      <c r="B531" s="9">
        <v>45979</v>
      </c>
      <c r="C531" s="8" t="s">
        <v>31</v>
      </c>
      <c r="D531" s="8" t="s">
        <v>26</v>
      </c>
      <c r="E531" s="8" t="s">
        <v>14</v>
      </c>
      <c r="F531" s="8" t="s">
        <v>24</v>
      </c>
      <c r="G531" s="8">
        <v>13</v>
      </c>
      <c r="H531" s="10">
        <v>8500</v>
      </c>
      <c r="I531" s="11">
        <v>0.1</v>
      </c>
    </row>
    <row r="532" spans="1:9">
      <c r="A532" s="4">
        <v>1531</v>
      </c>
      <c r="B532" s="5">
        <v>45864</v>
      </c>
      <c r="C532" s="4" t="s">
        <v>25</v>
      </c>
      <c r="D532" s="4" t="s">
        <v>26</v>
      </c>
      <c r="E532" s="4" t="s">
        <v>11</v>
      </c>
      <c r="F532" s="4" t="s">
        <v>20</v>
      </c>
      <c r="G532" s="4">
        <v>9</v>
      </c>
      <c r="H532" s="6">
        <v>11000</v>
      </c>
      <c r="I532" s="7">
        <v>0.15</v>
      </c>
    </row>
    <row r="533" spans="1:9">
      <c r="A533" s="8">
        <v>1532</v>
      </c>
      <c r="B533" s="9">
        <v>45907</v>
      </c>
      <c r="C533" s="8" t="s">
        <v>33</v>
      </c>
      <c r="D533" s="8" t="s">
        <v>10</v>
      </c>
      <c r="E533" s="8" t="s">
        <v>14</v>
      </c>
      <c r="F533" s="8" t="s">
        <v>20</v>
      </c>
      <c r="G533" s="8">
        <v>19</v>
      </c>
      <c r="H533" s="10">
        <v>2500</v>
      </c>
      <c r="I533" s="11">
        <v>0</v>
      </c>
    </row>
    <row r="534" spans="1:9">
      <c r="A534" s="4">
        <v>1533</v>
      </c>
      <c r="B534" s="5">
        <v>45983</v>
      </c>
      <c r="C534" s="4" t="s">
        <v>29</v>
      </c>
      <c r="D534" s="4" t="s">
        <v>30</v>
      </c>
      <c r="E534" s="4" t="s">
        <v>22</v>
      </c>
      <c r="F534" s="4" t="s">
        <v>12</v>
      </c>
      <c r="G534" s="4">
        <v>12</v>
      </c>
      <c r="H534" s="4">
        <v>250</v>
      </c>
      <c r="I534" s="7">
        <v>0</v>
      </c>
    </row>
    <row r="535" spans="1:9">
      <c r="A535" s="8">
        <v>1534</v>
      </c>
      <c r="B535" s="9">
        <v>45877</v>
      </c>
      <c r="C535" s="8" t="s">
        <v>38</v>
      </c>
      <c r="D535" s="8" t="s">
        <v>10</v>
      </c>
      <c r="E535" s="8" t="s">
        <v>11</v>
      </c>
      <c r="F535" s="8" t="s">
        <v>23</v>
      </c>
      <c r="G535" s="8">
        <v>7</v>
      </c>
      <c r="H535" s="10">
        <v>42000</v>
      </c>
      <c r="I535" s="11">
        <v>0.1</v>
      </c>
    </row>
    <row r="536" spans="1:9">
      <c r="A536" s="4">
        <v>1535</v>
      </c>
      <c r="B536" s="5">
        <v>45803</v>
      </c>
      <c r="C536" s="4" t="s">
        <v>33</v>
      </c>
      <c r="D536" s="4" t="s">
        <v>10</v>
      </c>
      <c r="E536" s="4" t="s">
        <v>17</v>
      </c>
      <c r="F536" s="4" t="s">
        <v>20</v>
      </c>
      <c r="G536" s="4">
        <v>18</v>
      </c>
      <c r="H536" s="6">
        <v>2500</v>
      </c>
      <c r="I536" s="7">
        <v>0.12</v>
      </c>
    </row>
    <row r="537" spans="1:9">
      <c r="A537" s="8">
        <v>1536</v>
      </c>
      <c r="B537" s="9">
        <v>45833</v>
      </c>
      <c r="C537" s="8" t="s">
        <v>37</v>
      </c>
      <c r="D537" s="8" t="s">
        <v>36</v>
      </c>
      <c r="E537" s="8" t="s">
        <v>14</v>
      </c>
      <c r="F537" s="8" t="s">
        <v>20</v>
      </c>
      <c r="G537" s="8">
        <v>2</v>
      </c>
      <c r="H537" s="10">
        <v>1800</v>
      </c>
      <c r="I537" s="11">
        <v>0</v>
      </c>
    </row>
    <row r="538" spans="1:9">
      <c r="A538" s="4">
        <v>1537</v>
      </c>
      <c r="B538" s="5">
        <v>45666</v>
      </c>
      <c r="C538" s="4" t="s">
        <v>9</v>
      </c>
      <c r="D538" s="4" t="s">
        <v>10</v>
      </c>
      <c r="E538" s="4" t="s">
        <v>22</v>
      </c>
      <c r="F538" s="4" t="s">
        <v>18</v>
      </c>
      <c r="G538" s="4">
        <v>6</v>
      </c>
      <c r="H538" s="6">
        <v>18000</v>
      </c>
      <c r="I538" s="7">
        <v>0.1</v>
      </c>
    </row>
    <row r="539" spans="1:9">
      <c r="A539" s="8">
        <v>1538</v>
      </c>
      <c r="B539" s="9">
        <v>45877</v>
      </c>
      <c r="C539" s="8" t="s">
        <v>19</v>
      </c>
      <c r="D539" s="8" t="s">
        <v>10</v>
      </c>
      <c r="E539" s="8" t="s">
        <v>11</v>
      </c>
      <c r="F539" s="8" t="s">
        <v>32</v>
      </c>
      <c r="G539" s="8">
        <v>5</v>
      </c>
      <c r="H539" s="8">
        <v>800</v>
      </c>
      <c r="I539" s="11">
        <v>0.15</v>
      </c>
    </row>
    <row r="540" spans="1:9">
      <c r="A540" s="4">
        <v>1539</v>
      </c>
      <c r="B540" s="5">
        <v>45798</v>
      </c>
      <c r="C540" s="4" t="s">
        <v>9</v>
      </c>
      <c r="D540" s="4" t="s">
        <v>10</v>
      </c>
      <c r="E540" s="4" t="s">
        <v>14</v>
      </c>
      <c r="F540" s="4" t="s">
        <v>23</v>
      </c>
      <c r="G540" s="4">
        <v>12</v>
      </c>
      <c r="H540" s="6">
        <v>18000</v>
      </c>
      <c r="I540" s="7">
        <v>0.08</v>
      </c>
    </row>
    <row r="541" spans="1:9">
      <c r="A541" s="8">
        <v>1540</v>
      </c>
      <c r="B541" s="9">
        <v>45998</v>
      </c>
      <c r="C541" s="8" t="s">
        <v>37</v>
      </c>
      <c r="D541" s="8" t="s">
        <v>36</v>
      </c>
      <c r="E541" s="8" t="s">
        <v>22</v>
      </c>
      <c r="F541" s="8" t="s">
        <v>27</v>
      </c>
      <c r="G541" s="8">
        <v>6</v>
      </c>
      <c r="H541" s="10">
        <v>1800</v>
      </c>
      <c r="I541" s="11">
        <v>0</v>
      </c>
    </row>
    <row r="542" spans="1:9">
      <c r="A542" s="4">
        <v>1541</v>
      </c>
      <c r="B542" s="5">
        <v>46016</v>
      </c>
      <c r="C542" s="4" t="s">
        <v>35</v>
      </c>
      <c r="D542" s="4" t="s">
        <v>36</v>
      </c>
      <c r="E542" s="4" t="s">
        <v>14</v>
      </c>
      <c r="F542" s="4" t="s">
        <v>24</v>
      </c>
      <c r="G542" s="4">
        <v>8</v>
      </c>
      <c r="H542" s="6">
        <v>3500</v>
      </c>
      <c r="I542" s="7">
        <v>0.1</v>
      </c>
    </row>
    <row r="543" spans="1:9">
      <c r="A543" s="8">
        <v>1542</v>
      </c>
      <c r="B543" s="9">
        <v>45658</v>
      </c>
      <c r="C543" s="8" t="s">
        <v>19</v>
      </c>
      <c r="D543" s="8" t="s">
        <v>10</v>
      </c>
      <c r="E543" s="8" t="s">
        <v>17</v>
      </c>
      <c r="F543" s="8" t="s">
        <v>12</v>
      </c>
      <c r="G543" s="8">
        <v>16</v>
      </c>
      <c r="H543" s="8">
        <v>800</v>
      </c>
      <c r="I543" s="11">
        <v>0</v>
      </c>
    </row>
    <row r="544" spans="1:9">
      <c r="A544" s="4">
        <v>1543</v>
      </c>
      <c r="B544" s="5">
        <v>45923</v>
      </c>
      <c r="C544" s="4" t="s">
        <v>29</v>
      </c>
      <c r="D544" s="4" t="s">
        <v>30</v>
      </c>
      <c r="E544" s="4" t="s">
        <v>14</v>
      </c>
      <c r="F544" s="4" t="s">
        <v>23</v>
      </c>
      <c r="G544" s="4">
        <v>15</v>
      </c>
      <c r="H544" s="4">
        <v>250</v>
      </c>
      <c r="I544" s="7">
        <v>0</v>
      </c>
    </row>
    <row r="545" spans="1:9">
      <c r="A545" s="8">
        <v>1544</v>
      </c>
      <c r="B545" s="9">
        <v>45719</v>
      </c>
      <c r="C545" s="8" t="s">
        <v>38</v>
      </c>
      <c r="D545" s="8" t="s">
        <v>10</v>
      </c>
      <c r="E545" s="8" t="s">
        <v>17</v>
      </c>
      <c r="F545" s="8" t="s">
        <v>20</v>
      </c>
      <c r="G545" s="8">
        <v>14</v>
      </c>
      <c r="H545" s="10">
        <v>42000</v>
      </c>
      <c r="I545" s="11">
        <v>0.15</v>
      </c>
    </row>
    <row r="546" spans="1:9">
      <c r="A546" s="4">
        <v>1545</v>
      </c>
      <c r="B546" s="5">
        <v>45694</v>
      </c>
      <c r="C546" s="4" t="s">
        <v>19</v>
      </c>
      <c r="D546" s="4" t="s">
        <v>10</v>
      </c>
      <c r="E546" s="4" t="s">
        <v>14</v>
      </c>
      <c r="F546" s="4" t="s">
        <v>24</v>
      </c>
      <c r="G546" s="4">
        <v>13</v>
      </c>
      <c r="H546" s="4">
        <v>800</v>
      </c>
      <c r="I546" s="7">
        <v>0</v>
      </c>
    </row>
    <row r="547" spans="1:9">
      <c r="A547" s="8">
        <v>1546</v>
      </c>
      <c r="B547" s="9">
        <v>45818</v>
      </c>
      <c r="C547" s="8" t="s">
        <v>33</v>
      </c>
      <c r="D547" s="8" t="s">
        <v>10</v>
      </c>
      <c r="E547" s="8" t="s">
        <v>22</v>
      </c>
      <c r="F547" s="8" t="s">
        <v>32</v>
      </c>
      <c r="G547" s="8">
        <v>10</v>
      </c>
      <c r="H547" s="10">
        <v>2500</v>
      </c>
      <c r="I547" s="11">
        <v>0.05</v>
      </c>
    </row>
    <row r="548" spans="1:9">
      <c r="A548" s="4">
        <v>1547</v>
      </c>
      <c r="B548" s="5">
        <v>45986</v>
      </c>
      <c r="C548" s="4" t="s">
        <v>29</v>
      </c>
      <c r="D548" s="4" t="s">
        <v>30</v>
      </c>
      <c r="E548" s="4" t="s">
        <v>14</v>
      </c>
      <c r="F548" s="4" t="s">
        <v>32</v>
      </c>
      <c r="G548" s="4">
        <v>5</v>
      </c>
      <c r="H548" s="4">
        <v>250</v>
      </c>
      <c r="I548" s="7">
        <v>0</v>
      </c>
    </row>
    <row r="549" spans="1:9">
      <c r="A549" s="8">
        <v>1548</v>
      </c>
      <c r="B549" s="9">
        <v>45883</v>
      </c>
      <c r="C549" s="8" t="s">
        <v>33</v>
      </c>
      <c r="D549" s="8" t="s">
        <v>10</v>
      </c>
      <c r="E549" s="8" t="s">
        <v>17</v>
      </c>
      <c r="F549" s="8" t="s">
        <v>15</v>
      </c>
      <c r="G549" s="8">
        <v>7</v>
      </c>
      <c r="H549" s="10">
        <v>2500</v>
      </c>
      <c r="I549" s="11">
        <v>0.15</v>
      </c>
    </row>
    <row r="550" spans="1:9">
      <c r="A550" s="4">
        <v>1549</v>
      </c>
      <c r="B550" s="5">
        <v>45973</v>
      </c>
      <c r="C550" s="4" t="s">
        <v>29</v>
      </c>
      <c r="D550" s="4" t="s">
        <v>30</v>
      </c>
      <c r="E550" s="4" t="s">
        <v>14</v>
      </c>
      <c r="F550" s="4" t="s">
        <v>24</v>
      </c>
      <c r="G550" s="4">
        <v>15</v>
      </c>
      <c r="H550" s="4">
        <v>250</v>
      </c>
      <c r="I550" s="7">
        <v>0.05</v>
      </c>
    </row>
    <row r="551" spans="1:9">
      <c r="A551" s="8">
        <v>1550</v>
      </c>
      <c r="B551" s="9">
        <v>45729</v>
      </c>
      <c r="C551" s="8" t="s">
        <v>35</v>
      </c>
      <c r="D551" s="8" t="s">
        <v>36</v>
      </c>
      <c r="E551" s="8" t="s">
        <v>22</v>
      </c>
      <c r="F551" s="8" t="s">
        <v>23</v>
      </c>
      <c r="G551" s="8">
        <v>4</v>
      </c>
      <c r="H551" s="10">
        <v>3500</v>
      </c>
      <c r="I551" s="11">
        <v>0.12</v>
      </c>
    </row>
    <row r="552" spans="1:9">
      <c r="A552" s="4">
        <v>1551</v>
      </c>
      <c r="B552" s="5">
        <v>45877</v>
      </c>
      <c r="C552" s="4" t="s">
        <v>33</v>
      </c>
      <c r="D552" s="4" t="s">
        <v>10</v>
      </c>
      <c r="E552" s="4" t="s">
        <v>11</v>
      </c>
      <c r="F552" s="4" t="s">
        <v>24</v>
      </c>
      <c r="G552" s="4">
        <v>5</v>
      </c>
      <c r="H552" s="6">
        <v>2500</v>
      </c>
      <c r="I552" s="7">
        <v>0.05</v>
      </c>
    </row>
    <row r="553" spans="1:9">
      <c r="A553" s="8">
        <v>1552</v>
      </c>
      <c r="B553" s="9">
        <v>45785</v>
      </c>
      <c r="C553" s="8" t="s">
        <v>25</v>
      </c>
      <c r="D553" s="8" t="s">
        <v>26</v>
      </c>
      <c r="E553" s="8" t="s">
        <v>11</v>
      </c>
      <c r="F553" s="8" t="s">
        <v>18</v>
      </c>
      <c r="G553" s="8">
        <v>20</v>
      </c>
      <c r="H553" s="10">
        <v>11000</v>
      </c>
      <c r="I553" s="11">
        <v>0.12</v>
      </c>
    </row>
    <row r="554" spans="1:9">
      <c r="A554" s="4">
        <v>1553</v>
      </c>
      <c r="B554" s="5">
        <v>45995</v>
      </c>
      <c r="C554" s="4" t="s">
        <v>37</v>
      </c>
      <c r="D554" s="4" t="s">
        <v>36</v>
      </c>
      <c r="E554" s="4" t="s">
        <v>17</v>
      </c>
      <c r="F554" s="4" t="s">
        <v>15</v>
      </c>
      <c r="G554" s="4">
        <v>10</v>
      </c>
      <c r="H554" s="6">
        <v>1800</v>
      </c>
      <c r="I554" s="7">
        <v>0.05</v>
      </c>
    </row>
    <row r="555" spans="1:9">
      <c r="A555" s="8">
        <v>1554</v>
      </c>
      <c r="B555" s="9">
        <v>45809</v>
      </c>
      <c r="C555" s="8" t="s">
        <v>29</v>
      </c>
      <c r="D555" s="8" t="s">
        <v>30</v>
      </c>
      <c r="E555" s="8" t="s">
        <v>22</v>
      </c>
      <c r="F555" s="8" t="s">
        <v>15</v>
      </c>
      <c r="G555" s="8">
        <v>2</v>
      </c>
      <c r="H555" s="8">
        <v>250</v>
      </c>
      <c r="I555" s="11">
        <v>0.05</v>
      </c>
    </row>
    <row r="556" spans="1:9">
      <c r="A556" s="4">
        <v>1555</v>
      </c>
      <c r="B556" s="5">
        <v>45715</v>
      </c>
      <c r="C556" s="4" t="s">
        <v>19</v>
      </c>
      <c r="D556" s="4" t="s">
        <v>10</v>
      </c>
      <c r="E556" s="4" t="s">
        <v>14</v>
      </c>
      <c r="F556" s="4" t="s">
        <v>18</v>
      </c>
      <c r="G556" s="4">
        <v>16</v>
      </c>
      <c r="H556" s="4">
        <v>800</v>
      </c>
      <c r="I556" s="7">
        <v>0.15</v>
      </c>
    </row>
    <row r="557" spans="1:9">
      <c r="A557" s="8">
        <v>1556</v>
      </c>
      <c r="B557" s="9">
        <v>45842</v>
      </c>
      <c r="C557" s="8" t="s">
        <v>37</v>
      </c>
      <c r="D557" s="8" t="s">
        <v>36</v>
      </c>
      <c r="E557" s="8" t="s">
        <v>22</v>
      </c>
      <c r="F557" s="8" t="s">
        <v>15</v>
      </c>
      <c r="G557" s="8">
        <v>11</v>
      </c>
      <c r="H557" s="10">
        <v>1800</v>
      </c>
      <c r="I557" s="11">
        <v>0.05</v>
      </c>
    </row>
    <row r="558" spans="1:9">
      <c r="A558" s="4">
        <v>1557</v>
      </c>
      <c r="B558" s="5">
        <v>45845</v>
      </c>
      <c r="C558" s="4" t="s">
        <v>25</v>
      </c>
      <c r="D558" s="4" t="s">
        <v>26</v>
      </c>
      <c r="E558" s="4" t="s">
        <v>14</v>
      </c>
      <c r="F558" s="4" t="s">
        <v>18</v>
      </c>
      <c r="G558" s="4">
        <v>6</v>
      </c>
      <c r="H558" s="6">
        <v>11000</v>
      </c>
      <c r="I558" s="7">
        <v>0.1</v>
      </c>
    </row>
    <row r="559" spans="1:9">
      <c r="A559" s="8">
        <v>1558</v>
      </c>
      <c r="B559" s="9">
        <v>45958</v>
      </c>
      <c r="C559" s="8" t="s">
        <v>9</v>
      </c>
      <c r="D559" s="8" t="s">
        <v>10</v>
      </c>
      <c r="E559" s="8" t="s">
        <v>17</v>
      </c>
      <c r="F559" s="8" t="s">
        <v>18</v>
      </c>
      <c r="G559" s="8">
        <v>1</v>
      </c>
      <c r="H559" s="10">
        <v>18000</v>
      </c>
      <c r="I559" s="11">
        <v>0.08</v>
      </c>
    </row>
    <row r="560" spans="1:9">
      <c r="A560" s="4">
        <v>1559</v>
      </c>
      <c r="B560" s="5">
        <v>45688</v>
      </c>
      <c r="C560" s="4" t="s">
        <v>35</v>
      </c>
      <c r="D560" s="4" t="s">
        <v>36</v>
      </c>
      <c r="E560" s="4" t="s">
        <v>11</v>
      </c>
      <c r="F560" s="4" t="s">
        <v>15</v>
      </c>
      <c r="G560" s="4">
        <v>13</v>
      </c>
      <c r="H560" s="6">
        <v>3500</v>
      </c>
      <c r="I560" s="7">
        <v>0.12</v>
      </c>
    </row>
    <row r="561" spans="1:9">
      <c r="A561" s="8">
        <v>1560</v>
      </c>
      <c r="B561" s="9">
        <v>45874</v>
      </c>
      <c r="C561" s="8" t="s">
        <v>39</v>
      </c>
      <c r="D561" s="8" t="s">
        <v>30</v>
      </c>
      <c r="E561" s="8" t="s">
        <v>17</v>
      </c>
      <c r="F561" s="8" t="s">
        <v>27</v>
      </c>
      <c r="G561" s="8">
        <v>13</v>
      </c>
      <c r="H561" s="8">
        <v>180</v>
      </c>
      <c r="I561" s="11">
        <v>0</v>
      </c>
    </row>
    <row r="562" spans="1:9">
      <c r="A562" s="4">
        <v>1561</v>
      </c>
      <c r="B562" s="5">
        <v>45700</v>
      </c>
      <c r="C562" s="4" t="s">
        <v>21</v>
      </c>
      <c r="D562" s="4" t="s">
        <v>10</v>
      </c>
      <c r="E562" s="4" t="s">
        <v>17</v>
      </c>
      <c r="F562" s="4" t="s">
        <v>32</v>
      </c>
      <c r="G562" s="4">
        <v>3</v>
      </c>
      <c r="H562" s="6">
        <v>14000</v>
      </c>
      <c r="I562" s="7">
        <v>0.12</v>
      </c>
    </row>
    <row r="563" spans="1:9">
      <c r="A563" s="8">
        <v>1562</v>
      </c>
      <c r="B563" s="9">
        <v>45932</v>
      </c>
      <c r="C563" s="8" t="s">
        <v>33</v>
      </c>
      <c r="D563" s="8" t="s">
        <v>10</v>
      </c>
      <c r="E563" s="8" t="s">
        <v>14</v>
      </c>
      <c r="F563" s="8" t="s">
        <v>27</v>
      </c>
      <c r="G563" s="8">
        <v>13</v>
      </c>
      <c r="H563" s="10">
        <v>2500</v>
      </c>
      <c r="I563" s="11">
        <v>0.12</v>
      </c>
    </row>
    <row r="564" spans="1:9">
      <c r="A564" s="4">
        <v>1563</v>
      </c>
      <c r="B564" s="5">
        <v>46015</v>
      </c>
      <c r="C564" s="4" t="s">
        <v>31</v>
      </c>
      <c r="D564" s="4" t="s">
        <v>26</v>
      </c>
      <c r="E564" s="4" t="s">
        <v>17</v>
      </c>
      <c r="F564" s="4" t="s">
        <v>24</v>
      </c>
      <c r="G564" s="4">
        <v>8</v>
      </c>
      <c r="H564" s="6">
        <v>8500</v>
      </c>
      <c r="I564" s="7">
        <v>0</v>
      </c>
    </row>
    <row r="565" spans="1:9">
      <c r="A565" s="8">
        <v>1564</v>
      </c>
      <c r="B565" s="9">
        <v>45880</v>
      </c>
      <c r="C565" s="8" t="s">
        <v>9</v>
      </c>
      <c r="D565" s="8" t="s">
        <v>10</v>
      </c>
      <c r="E565" s="8" t="s">
        <v>14</v>
      </c>
      <c r="F565" s="8" t="s">
        <v>27</v>
      </c>
      <c r="G565" s="8">
        <v>15</v>
      </c>
      <c r="H565" s="10">
        <v>18000</v>
      </c>
      <c r="I565" s="11">
        <v>0.12</v>
      </c>
    </row>
    <row r="566" spans="1:9">
      <c r="A566" s="4">
        <v>1565</v>
      </c>
      <c r="B566" s="5">
        <v>45999</v>
      </c>
      <c r="C566" s="4" t="s">
        <v>39</v>
      </c>
      <c r="D566" s="4" t="s">
        <v>30</v>
      </c>
      <c r="E566" s="4" t="s">
        <v>14</v>
      </c>
      <c r="F566" s="4" t="s">
        <v>32</v>
      </c>
      <c r="G566" s="4">
        <v>6</v>
      </c>
      <c r="H566" s="4">
        <v>180</v>
      </c>
      <c r="I566" s="7">
        <v>0</v>
      </c>
    </row>
    <row r="567" spans="1:9">
      <c r="A567" s="8">
        <v>1566</v>
      </c>
      <c r="B567" s="9">
        <v>46017</v>
      </c>
      <c r="C567" s="8" t="s">
        <v>16</v>
      </c>
      <c r="D567" s="8" t="s">
        <v>10</v>
      </c>
      <c r="E567" s="8" t="s">
        <v>11</v>
      </c>
      <c r="F567" s="8" t="s">
        <v>27</v>
      </c>
      <c r="G567" s="8">
        <v>6</v>
      </c>
      <c r="H567" s="10">
        <v>55000</v>
      </c>
      <c r="I567" s="11">
        <v>0.1</v>
      </c>
    </row>
    <row r="568" spans="1:9">
      <c r="A568" s="4">
        <v>1567</v>
      </c>
      <c r="B568" s="5">
        <v>45743</v>
      </c>
      <c r="C568" s="4" t="s">
        <v>33</v>
      </c>
      <c r="D568" s="4" t="s">
        <v>10</v>
      </c>
      <c r="E568" s="4" t="s">
        <v>11</v>
      </c>
      <c r="F568" s="4" t="s">
        <v>24</v>
      </c>
      <c r="G568" s="4">
        <v>5</v>
      </c>
      <c r="H568" s="6">
        <v>2500</v>
      </c>
      <c r="I568" s="7">
        <v>0.15</v>
      </c>
    </row>
    <row r="569" spans="1:9">
      <c r="A569" s="8">
        <v>1568</v>
      </c>
      <c r="B569" s="9">
        <v>45673</v>
      </c>
      <c r="C569" s="8" t="s">
        <v>33</v>
      </c>
      <c r="D569" s="8" t="s">
        <v>10</v>
      </c>
      <c r="E569" s="8" t="s">
        <v>14</v>
      </c>
      <c r="F569" s="8" t="s">
        <v>27</v>
      </c>
      <c r="G569" s="8">
        <v>14</v>
      </c>
      <c r="H569" s="10">
        <v>2500</v>
      </c>
      <c r="I569" s="11">
        <v>0.08</v>
      </c>
    </row>
    <row r="570" spans="1:9">
      <c r="A570" s="4">
        <v>1569</v>
      </c>
      <c r="B570" s="5">
        <v>46022</v>
      </c>
      <c r="C570" s="4" t="s">
        <v>28</v>
      </c>
      <c r="D570" s="4" t="s">
        <v>26</v>
      </c>
      <c r="E570" s="4" t="s">
        <v>22</v>
      </c>
      <c r="F570" s="4" t="s">
        <v>23</v>
      </c>
      <c r="G570" s="4">
        <v>3</v>
      </c>
      <c r="H570" s="6">
        <v>9000</v>
      </c>
      <c r="I570" s="7">
        <v>0.1</v>
      </c>
    </row>
    <row r="571" spans="1:9">
      <c r="A571" s="8">
        <v>1570</v>
      </c>
      <c r="B571" s="9">
        <v>45686</v>
      </c>
      <c r="C571" s="8" t="s">
        <v>34</v>
      </c>
      <c r="D571" s="8" t="s">
        <v>26</v>
      </c>
      <c r="E571" s="8" t="s">
        <v>11</v>
      </c>
      <c r="F571" s="8" t="s">
        <v>32</v>
      </c>
      <c r="G571" s="8">
        <v>19</v>
      </c>
      <c r="H571" s="10">
        <v>15000</v>
      </c>
      <c r="I571" s="11">
        <v>0.05</v>
      </c>
    </row>
    <row r="572" spans="1:9">
      <c r="A572" s="4">
        <v>1571</v>
      </c>
      <c r="B572" s="5">
        <v>45788</v>
      </c>
      <c r="C572" s="4" t="s">
        <v>35</v>
      </c>
      <c r="D572" s="4" t="s">
        <v>36</v>
      </c>
      <c r="E572" s="4" t="s">
        <v>14</v>
      </c>
      <c r="F572" s="4" t="s">
        <v>12</v>
      </c>
      <c r="G572" s="4">
        <v>4</v>
      </c>
      <c r="H572" s="6">
        <v>3500</v>
      </c>
      <c r="I572" s="7">
        <v>0.12</v>
      </c>
    </row>
    <row r="573" spans="1:9">
      <c r="A573" s="8">
        <v>1572</v>
      </c>
      <c r="B573" s="9">
        <v>45918</v>
      </c>
      <c r="C573" s="8" t="s">
        <v>16</v>
      </c>
      <c r="D573" s="8" t="s">
        <v>10</v>
      </c>
      <c r="E573" s="8" t="s">
        <v>17</v>
      </c>
      <c r="F573" s="8" t="s">
        <v>18</v>
      </c>
      <c r="G573" s="8">
        <v>2</v>
      </c>
      <c r="H573" s="10">
        <v>55000</v>
      </c>
      <c r="I573" s="11">
        <v>0</v>
      </c>
    </row>
    <row r="574" spans="1:9">
      <c r="A574" s="4">
        <v>1573</v>
      </c>
      <c r="B574" s="5">
        <v>45899</v>
      </c>
      <c r="C574" s="4" t="s">
        <v>33</v>
      </c>
      <c r="D574" s="4" t="s">
        <v>10</v>
      </c>
      <c r="E574" s="4" t="s">
        <v>17</v>
      </c>
      <c r="F574" s="4" t="s">
        <v>18</v>
      </c>
      <c r="G574" s="4">
        <v>13</v>
      </c>
      <c r="H574" s="6">
        <v>2500</v>
      </c>
      <c r="I574" s="7">
        <v>0.05</v>
      </c>
    </row>
    <row r="575" spans="1:9">
      <c r="A575" s="8">
        <v>1574</v>
      </c>
      <c r="B575" s="9">
        <v>45941</v>
      </c>
      <c r="C575" s="8" t="s">
        <v>35</v>
      </c>
      <c r="D575" s="8" t="s">
        <v>36</v>
      </c>
      <c r="E575" s="8" t="s">
        <v>11</v>
      </c>
      <c r="F575" s="8" t="s">
        <v>12</v>
      </c>
      <c r="G575" s="8">
        <v>14</v>
      </c>
      <c r="H575" s="10">
        <v>3500</v>
      </c>
      <c r="I575" s="11">
        <v>0.05</v>
      </c>
    </row>
    <row r="576" spans="1:9">
      <c r="A576" s="4">
        <v>1575</v>
      </c>
      <c r="B576" s="5">
        <v>45871</v>
      </c>
      <c r="C576" s="4" t="s">
        <v>37</v>
      </c>
      <c r="D576" s="4" t="s">
        <v>36</v>
      </c>
      <c r="E576" s="4" t="s">
        <v>14</v>
      </c>
      <c r="F576" s="4" t="s">
        <v>23</v>
      </c>
      <c r="G576" s="4">
        <v>11</v>
      </c>
      <c r="H576" s="6">
        <v>1800</v>
      </c>
      <c r="I576" s="7">
        <v>0.08</v>
      </c>
    </row>
    <row r="577" spans="1:9">
      <c r="A577" s="8">
        <v>1576</v>
      </c>
      <c r="B577" s="9">
        <v>45719</v>
      </c>
      <c r="C577" s="8" t="s">
        <v>25</v>
      </c>
      <c r="D577" s="8" t="s">
        <v>26</v>
      </c>
      <c r="E577" s="8" t="s">
        <v>17</v>
      </c>
      <c r="F577" s="8" t="s">
        <v>18</v>
      </c>
      <c r="G577" s="8">
        <v>2</v>
      </c>
      <c r="H577" s="10">
        <v>11000</v>
      </c>
      <c r="I577" s="11">
        <v>0.05</v>
      </c>
    </row>
    <row r="578" spans="1:9">
      <c r="A578" s="4">
        <v>1577</v>
      </c>
      <c r="B578" s="5">
        <v>45863</v>
      </c>
      <c r="C578" s="4" t="s">
        <v>9</v>
      </c>
      <c r="D578" s="4" t="s">
        <v>10</v>
      </c>
      <c r="E578" s="4" t="s">
        <v>11</v>
      </c>
      <c r="F578" s="4" t="s">
        <v>23</v>
      </c>
      <c r="G578" s="4">
        <v>15</v>
      </c>
      <c r="H578" s="6">
        <v>18000</v>
      </c>
      <c r="I578" s="7">
        <v>0.08</v>
      </c>
    </row>
    <row r="579" spans="1:9">
      <c r="A579" s="8">
        <v>1578</v>
      </c>
      <c r="B579" s="9">
        <v>45702</v>
      </c>
      <c r="C579" s="8" t="s">
        <v>25</v>
      </c>
      <c r="D579" s="8" t="s">
        <v>26</v>
      </c>
      <c r="E579" s="8" t="s">
        <v>11</v>
      </c>
      <c r="F579" s="8" t="s">
        <v>12</v>
      </c>
      <c r="G579" s="8">
        <v>15</v>
      </c>
      <c r="H579" s="10">
        <v>11000</v>
      </c>
      <c r="I579" s="11">
        <v>0</v>
      </c>
    </row>
    <row r="580" spans="1:9">
      <c r="A580" s="4">
        <v>1579</v>
      </c>
      <c r="B580" s="5">
        <v>45807</v>
      </c>
      <c r="C580" s="4" t="s">
        <v>28</v>
      </c>
      <c r="D580" s="4" t="s">
        <v>26</v>
      </c>
      <c r="E580" s="4" t="s">
        <v>17</v>
      </c>
      <c r="F580" s="4" t="s">
        <v>20</v>
      </c>
      <c r="G580" s="4">
        <v>10</v>
      </c>
      <c r="H580" s="6">
        <v>9000</v>
      </c>
      <c r="I580" s="7">
        <v>0.15</v>
      </c>
    </row>
    <row r="581" spans="1:9">
      <c r="A581" s="8">
        <v>1580</v>
      </c>
      <c r="B581" s="9">
        <v>45846</v>
      </c>
      <c r="C581" s="8" t="s">
        <v>28</v>
      </c>
      <c r="D581" s="8" t="s">
        <v>26</v>
      </c>
      <c r="E581" s="8" t="s">
        <v>17</v>
      </c>
      <c r="F581" s="8" t="s">
        <v>32</v>
      </c>
      <c r="G581" s="8">
        <v>16</v>
      </c>
      <c r="H581" s="10">
        <v>9000</v>
      </c>
      <c r="I581" s="11">
        <v>0.05</v>
      </c>
    </row>
    <row r="582" spans="1:9">
      <c r="A582" s="4">
        <v>1581</v>
      </c>
      <c r="B582" s="5">
        <v>45661</v>
      </c>
      <c r="C582" s="4" t="s">
        <v>37</v>
      </c>
      <c r="D582" s="4" t="s">
        <v>36</v>
      </c>
      <c r="E582" s="4" t="s">
        <v>17</v>
      </c>
      <c r="F582" s="4" t="s">
        <v>23</v>
      </c>
      <c r="G582" s="4">
        <v>14</v>
      </c>
      <c r="H582" s="6">
        <v>1800</v>
      </c>
      <c r="I582" s="7">
        <v>0</v>
      </c>
    </row>
    <row r="583" spans="1:9">
      <c r="A583" s="8">
        <v>1582</v>
      </c>
      <c r="B583" s="9">
        <v>45983</v>
      </c>
      <c r="C583" s="8" t="s">
        <v>38</v>
      </c>
      <c r="D583" s="8" t="s">
        <v>10</v>
      </c>
      <c r="E583" s="8" t="s">
        <v>14</v>
      </c>
      <c r="F583" s="8" t="s">
        <v>15</v>
      </c>
      <c r="G583" s="8">
        <v>1</v>
      </c>
      <c r="H583" s="10">
        <v>42000</v>
      </c>
      <c r="I583" s="11">
        <v>0.08</v>
      </c>
    </row>
    <row r="584" spans="1:9">
      <c r="A584" s="4">
        <v>1583</v>
      </c>
      <c r="B584" s="5">
        <v>45815</v>
      </c>
      <c r="C584" s="4" t="s">
        <v>9</v>
      </c>
      <c r="D584" s="4" t="s">
        <v>10</v>
      </c>
      <c r="E584" s="4" t="s">
        <v>17</v>
      </c>
      <c r="F584" s="4" t="s">
        <v>15</v>
      </c>
      <c r="G584" s="4">
        <v>7</v>
      </c>
      <c r="H584" s="6">
        <v>18000</v>
      </c>
      <c r="I584" s="7">
        <v>0.12</v>
      </c>
    </row>
    <row r="585" spans="1:9">
      <c r="A585" s="8">
        <v>1584</v>
      </c>
      <c r="B585" s="9">
        <v>45909</v>
      </c>
      <c r="C585" s="8" t="s">
        <v>16</v>
      </c>
      <c r="D585" s="8" t="s">
        <v>10</v>
      </c>
      <c r="E585" s="8" t="s">
        <v>11</v>
      </c>
      <c r="F585" s="8" t="s">
        <v>24</v>
      </c>
      <c r="G585" s="8">
        <v>5</v>
      </c>
      <c r="H585" s="10">
        <v>55000</v>
      </c>
      <c r="I585" s="11">
        <v>0.15</v>
      </c>
    </row>
    <row r="586" spans="1:9">
      <c r="A586" s="4">
        <v>1585</v>
      </c>
      <c r="B586" s="5">
        <v>45680</v>
      </c>
      <c r="C586" s="4" t="s">
        <v>37</v>
      </c>
      <c r="D586" s="4" t="s">
        <v>36</v>
      </c>
      <c r="E586" s="4" t="s">
        <v>22</v>
      </c>
      <c r="F586" s="4" t="s">
        <v>23</v>
      </c>
      <c r="G586" s="4">
        <v>8</v>
      </c>
      <c r="H586" s="6">
        <v>1800</v>
      </c>
      <c r="I586" s="7">
        <v>0.12</v>
      </c>
    </row>
    <row r="587" spans="1:9">
      <c r="A587" s="8">
        <v>1586</v>
      </c>
      <c r="B587" s="9">
        <v>45892</v>
      </c>
      <c r="C587" s="8" t="s">
        <v>39</v>
      </c>
      <c r="D587" s="8" t="s">
        <v>30</v>
      </c>
      <c r="E587" s="8" t="s">
        <v>14</v>
      </c>
      <c r="F587" s="8" t="s">
        <v>32</v>
      </c>
      <c r="G587" s="8">
        <v>3</v>
      </c>
      <c r="H587" s="8">
        <v>180</v>
      </c>
      <c r="I587" s="11">
        <v>0.12</v>
      </c>
    </row>
    <row r="588" spans="1:9">
      <c r="A588" s="4">
        <v>1587</v>
      </c>
      <c r="B588" s="5">
        <v>45984</v>
      </c>
      <c r="C588" s="4" t="s">
        <v>38</v>
      </c>
      <c r="D588" s="4" t="s">
        <v>10</v>
      </c>
      <c r="E588" s="4" t="s">
        <v>14</v>
      </c>
      <c r="F588" s="4" t="s">
        <v>15</v>
      </c>
      <c r="G588" s="4">
        <v>13</v>
      </c>
      <c r="H588" s="6">
        <v>42000</v>
      </c>
      <c r="I588" s="7">
        <v>0</v>
      </c>
    </row>
    <row r="589" spans="1:9">
      <c r="A589" s="8">
        <v>1588</v>
      </c>
      <c r="B589" s="9">
        <v>45997</v>
      </c>
      <c r="C589" s="8" t="s">
        <v>13</v>
      </c>
      <c r="D589" s="8" t="s">
        <v>10</v>
      </c>
      <c r="E589" s="8" t="s">
        <v>11</v>
      </c>
      <c r="F589" s="8" t="s">
        <v>23</v>
      </c>
      <c r="G589" s="8">
        <v>8</v>
      </c>
      <c r="H589" s="10">
        <v>1200</v>
      </c>
      <c r="I589" s="11">
        <v>0.08</v>
      </c>
    </row>
    <row r="590" spans="1:9">
      <c r="A590" s="4">
        <v>1589</v>
      </c>
      <c r="B590" s="5">
        <v>45859</v>
      </c>
      <c r="C590" s="4" t="s">
        <v>39</v>
      </c>
      <c r="D590" s="4" t="s">
        <v>30</v>
      </c>
      <c r="E590" s="4" t="s">
        <v>22</v>
      </c>
      <c r="F590" s="4" t="s">
        <v>27</v>
      </c>
      <c r="G590" s="4">
        <v>11</v>
      </c>
      <c r="H590" s="4">
        <v>180</v>
      </c>
      <c r="I590" s="7">
        <v>0.08</v>
      </c>
    </row>
    <row r="591" spans="1:9">
      <c r="A591" s="8">
        <v>1590</v>
      </c>
      <c r="B591" s="9">
        <v>45777</v>
      </c>
      <c r="C591" s="8" t="s">
        <v>9</v>
      </c>
      <c r="D591" s="8" t="s">
        <v>10</v>
      </c>
      <c r="E591" s="8" t="s">
        <v>14</v>
      </c>
      <c r="F591" s="8" t="s">
        <v>32</v>
      </c>
      <c r="G591" s="8">
        <v>7</v>
      </c>
      <c r="H591" s="10">
        <v>18000</v>
      </c>
      <c r="I591" s="11">
        <v>0.05</v>
      </c>
    </row>
    <row r="592" spans="1:9">
      <c r="A592" s="4">
        <v>1591</v>
      </c>
      <c r="B592" s="5">
        <v>45712</v>
      </c>
      <c r="C592" s="4" t="s">
        <v>13</v>
      </c>
      <c r="D592" s="4" t="s">
        <v>10</v>
      </c>
      <c r="E592" s="4" t="s">
        <v>11</v>
      </c>
      <c r="F592" s="4" t="s">
        <v>15</v>
      </c>
      <c r="G592" s="4">
        <v>15</v>
      </c>
      <c r="H592" s="6">
        <v>1200</v>
      </c>
      <c r="I592" s="7">
        <v>0.1</v>
      </c>
    </row>
    <row r="593" spans="1:9">
      <c r="A593" s="8">
        <v>1592</v>
      </c>
      <c r="B593" s="9">
        <v>45719</v>
      </c>
      <c r="C593" s="8" t="s">
        <v>25</v>
      </c>
      <c r="D593" s="8" t="s">
        <v>26</v>
      </c>
      <c r="E593" s="8" t="s">
        <v>22</v>
      </c>
      <c r="F593" s="8" t="s">
        <v>27</v>
      </c>
      <c r="G593" s="8">
        <v>12</v>
      </c>
      <c r="H593" s="10">
        <v>11000</v>
      </c>
      <c r="I593" s="11">
        <v>0.05</v>
      </c>
    </row>
    <row r="594" spans="1:9">
      <c r="A594" s="4">
        <v>1593</v>
      </c>
      <c r="B594" s="5">
        <v>45895</v>
      </c>
      <c r="C594" s="4" t="s">
        <v>21</v>
      </c>
      <c r="D594" s="4" t="s">
        <v>10</v>
      </c>
      <c r="E594" s="4" t="s">
        <v>17</v>
      </c>
      <c r="F594" s="4" t="s">
        <v>27</v>
      </c>
      <c r="G594" s="4">
        <v>4</v>
      </c>
      <c r="H594" s="6">
        <v>14000</v>
      </c>
      <c r="I594" s="7">
        <v>0</v>
      </c>
    </row>
    <row r="595" spans="1:9">
      <c r="A595" s="8">
        <v>1594</v>
      </c>
      <c r="B595" s="9">
        <v>46018</v>
      </c>
      <c r="C595" s="8" t="s">
        <v>39</v>
      </c>
      <c r="D595" s="8" t="s">
        <v>30</v>
      </c>
      <c r="E595" s="8" t="s">
        <v>17</v>
      </c>
      <c r="F595" s="8" t="s">
        <v>23</v>
      </c>
      <c r="G595" s="8">
        <v>20</v>
      </c>
      <c r="H595" s="8">
        <v>180</v>
      </c>
      <c r="I595" s="11">
        <v>0</v>
      </c>
    </row>
    <row r="596" spans="1:9">
      <c r="A596" s="4">
        <v>1595</v>
      </c>
      <c r="B596" s="5">
        <v>45733</v>
      </c>
      <c r="C596" s="4" t="s">
        <v>9</v>
      </c>
      <c r="D596" s="4" t="s">
        <v>10</v>
      </c>
      <c r="E596" s="4" t="s">
        <v>22</v>
      </c>
      <c r="F596" s="4" t="s">
        <v>18</v>
      </c>
      <c r="G596" s="4">
        <v>8</v>
      </c>
      <c r="H596" s="6">
        <v>18000</v>
      </c>
      <c r="I596" s="7">
        <v>0.08</v>
      </c>
    </row>
    <row r="597" spans="1:9">
      <c r="A597" s="8">
        <v>1596</v>
      </c>
      <c r="B597" s="9">
        <v>46004</v>
      </c>
      <c r="C597" s="8" t="s">
        <v>21</v>
      </c>
      <c r="D597" s="8" t="s">
        <v>10</v>
      </c>
      <c r="E597" s="8" t="s">
        <v>14</v>
      </c>
      <c r="F597" s="8" t="s">
        <v>15</v>
      </c>
      <c r="G597" s="8">
        <v>9</v>
      </c>
      <c r="H597" s="10">
        <v>14000</v>
      </c>
      <c r="I597" s="11">
        <v>0.05</v>
      </c>
    </row>
    <row r="598" spans="1:9">
      <c r="A598" s="4">
        <v>1597</v>
      </c>
      <c r="B598" s="5">
        <v>45889</v>
      </c>
      <c r="C598" s="4" t="s">
        <v>25</v>
      </c>
      <c r="D598" s="4" t="s">
        <v>26</v>
      </c>
      <c r="E598" s="4" t="s">
        <v>14</v>
      </c>
      <c r="F598" s="4" t="s">
        <v>20</v>
      </c>
      <c r="G598" s="4">
        <v>18</v>
      </c>
      <c r="H598" s="6">
        <v>11000</v>
      </c>
      <c r="I598" s="7">
        <v>0.05</v>
      </c>
    </row>
    <row r="599" spans="1:9">
      <c r="A599" s="8">
        <v>1598</v>
      </c>
      <c r="B599" s="9">
        <v>45710</v>
      </c>
      <c r="C599" s="8" t="s">
        <v>35</v>
      </c>
      <c r="D599" s="8" t="s">
        <v>36</v>
      </c>
      <c r="E599" s="8" t="s">
        <v>14</v>
      </c>
      <c r="F599" s="8" t="s">
        <v>18</v>
      </c>
      <c r="G599" s="8">
        <v>5</v>
      </c>
      <c r="H599" s="10">
        <v>3500</v>
      </c>
      <c r="I599" s="11">
        <v>0</v>
      </c>
    </row>
    <row r="600" spans="1:9">
      <c r="A600" s="4">
        <v>1599</v>
      </c>
      <c r="B600" s="5">
        <v>45771</v>
      </c>
      <c r="C600" s="4" t="s">
        <v>13</v>
      </c>
      <c r="D600" s="4" t="s">
        <v>10</v>
      </c>
      <c r="E600" s="4" t="s">
        <v>11</v>
      </c>
      <c r="F600" s="4" t="s">
        <v>24</v>
      </c>
      <c r="G600" s="4">
        <v>7</v>
      </c>
      <c r="H600" s="6">
        <v>1200</v>
      </c>
      <c r="I600" s="7">
        <v>0.1</v>
      </c>
    </row>
    <row r="601" spans="1:9">
      <c r="A601" s="8">
        <v>1600</v>
      </c>
      <c r="B601" s="9">
        <v>46371</v>
      </c>
      <c r="C601" s="8" t="s">
        <v>28</v>
      </c>
      <c r="D601" s="8" t="s">
        <v>26</v>
      </c>
      <c r="E601" s="8" t="s">
        <v>14</v>
      </c>
      <c r="F601" s="8" t="s">
        <v>24</v>
      </c>
      <c r="G601" s="8">
        <v>9</v>
      </c>
      <c r="H601" s="10">
        <v>9000</v>
      </c>
      <c r="I601" s="11">
        <v>0</v>
      </c>
    </row>
    <row r="602" spans="1:9">
      <c r="A602" s="4">
        <v>1601</v>
      </c>
      <c r="B602" s="5">
        <v>45759</v>
      </c>
      <c r="C602" s="4" t="s">
        <v>37</v>
      </c>
      <c r="D602" s="4" t="s">
        <v>36</v>
      </c>
      <c r="E602" s="4" t="s">
        <v>14</v>
      </c>
      <c r="F602" s="4" t="s">
        <v>23</v>
      </c>
      <c r="G602" s="4">
        <v>15</v>
      </c>
      <c r="H602" s="6">
        <v>1800</v>
      </c>
      <c r="I602" s="7">
        <v>0.05</v>
      </c>
    </row>
    <row r="603" spans="1:9">
      <c r="A603" s="8">
        <v>1602</v>
      </c>
      <c r="B603" s="9">
        <v>45720</v>
      </c>
      <c r="C603" s="8" t="s">
        <v>16</v>
      </c>
      <c r="D603" s="8" t="s">
        <v>10</v>
      </c>
      <c r="E603" s="8" t="s">
        <v>17</v>
      </c>
      <c r="F603" s="8" t="s">
        <v>15</v>
      </c>
      <c r="G603" s="8">
        <v>15</v>
      </c>
      <c r="H603" s="10">
        <v>55000</v>
      </c>
      <c r="I603" s="11">
        <v>0</v>
      </c>
    </row>
    <row r="604" spans="1:9">
      <c r="A604" s="4">
        <v>1603</v>
      </c>
      <c r="B604" s="5">
        <v>45860</v>
      </c>
      <c r="C604" s="4" t="s">
        <v>34</v>
      </c>
      <c r="D604" s="4" t="s">
        <v>26</v>
      </c>
      <c r="E604" s="4" t="s">
        <v>22</v>
      </c>
      <c r="F604" s="4" t="s">
        <v>32</v>
      </c>
      <c r="G604" s="4">
        <v>1</v>
      </c>
      <c r="H604" s="6">
        <v>15000</v>
      </c>
      <c r="I604" s="7">
        <v>0.1</v>
      </c>
    </row>
    <row r="605" spans="1:9">
      <c r="A605" s="8">
        <v>1604</v>
      </c>
      <c r="B605" s="9">
        <v>45839</v>
      </c>
      <c r="C605" s="8" t="s">
        <v>19</v>
      </c>
      <c r="D605" s="8" t="s">
        <v>10</v>
      </c>
      <c r="E605" s="8" t="s">
        <v>11</v>
      </c>
      <c r="F605" s="8" t="s">
        <v>20</v>
      </c>
      <c r="G605" s="8">
        <v>6</v>
      </c>
      <c r="H605" s="8">
        <v>800</v>
      </c>
      <c r="I605" s="11">
        <v>0.08</v>
      </c>
    </row>
    <row r="606" spans="1:9">
      <c r="A606" s="4">
        <v>1605</v>
      </c>
      <c r="B606" s="5">
        <v>45734</v>
      </c>
      <c r="C606" s="4" t="s">
        <v>16</v>
      </c>
      <c r="D606" s="4" t="s">
        <v>10</v>
      </c>
      <c r="E606" s="4" t="s">
        <v>17</v>
      </c>
      <c r="F606" s="4" t="s">
        <v>27</v>
      </c>
      <c r="G606" s="4">
        <v>20</v>
      </c>
      <c r="H606" s="6">
        <v>55000</v>
      </c>
      <c r="I606" s="7">
        <v>0.12</v>
      </c>
    </row>
    <row r="607" spans="1:9">
      <c r="A607" s="8">
        <v>1606</v>
      </c>
      <c r="B607" s="9">
        <v>45913</v>
      </c>
      <c r="C607" s="8" t="s">
        <v>31</v>
      </c>
      <c r="D607" s="8" t="s">
        <v>26</v>
      </c>
      <c r="E607" s="8" t="s">
        <v>14</v>
      </c>
      <c r="F607" s="8" t="s">
        <v>24</v>
      </c>
      <c r="G607" s="8">
        <v>18</v>
      </c>
      <c r="H607" s="10">
        <v>8500</v>
      </c>
      <c r="I607" s="11">
        <v>0.1</v>
      </c>
    </row>
    <row r="608" spans="1:9">
      <c r="A608" s="4">
        <v>1607</v>
      </c>
      <c r="B608" s="5">
        <v>45801</v>
      </c>
      <c r="C608" s="4" t="s">
        <v>31</v>
      </c>
      <c r="D608" s="4" t="s">
        <v>26</v>
      </c>
      <c r="E608" s="4" t="s">
        <v>17</v>
      </c>
      <c r="F608" s="4" t="s">
        <v>12</v>
      </c>
      <c r="G608" s="4">
        <v>5</v>
      </c>
      <c r="H608" s="6">
        <v>8500</v>
      </c>
      <c r="I608" s="7">
        <v>0.1</v>
      </c>
    </row>
    <row r="609" spans="1:9">
      <c r="A609" s="8">
        <v>1608</v>
      </c>
      <c r="B609" s="9">
        <v>45980</v>
      </c>
      <c r="C609" s="8" t="s">
        <v>35</v>
      </c>
      <c r="D609" s="8" t="s">
        <v>36</v>
      </c>
      <c r="E609" s="8" t="s">
        <v>22</v>
      </c>
      <c r="F609" s="8" t="s">
        <v>23</v>
      </c>
      <c r="G609" s="8">
        <v>18</v>
      </c>
      <c r="H609" s="10">
        <v>3500</v>
      </c>
      <c r="I609" s="11">
        <v>0</v>
      </c>
    </row>
    <row r="610" spans="1:9">
      <c r="A610" s="4">
        <v>1609</v>
      </c>
      <c r="B610" s="5">
        <v>45903</v>
      </c>
      <c r="C610" s="4" t="s">
        <v>25</v>
      </c>
      <c r="D610" s="4" t="s">
        <v>26</v>
      </c>
      <c r="E610" s="4" t="s">
        <v>11</v>
      </c>
      <c r="F610" s="4" t="s">
        <v>15</v>
      </c>
      <c r="G610" s="4">
        <v>16</v>
      </c>
      <c r="H610" s="6">
        <v>11000</v>
      </c>
      <c r="I610" s="7">
        <v>0.08</v>
      </c>
    </row>
    <row r="611" spans="1:9">
      <c r="A611" s="8">
        <v>1610</v>
      </c>
      <c r="B611" s="9">
        <v>45796</v>
      </c>
      <c r="C611" s="8" t="s">
        <v>13</v>
      </c>
      <c r="D611" s="8" t="s">
        <v>10</v>
      </c>
      <c r="E611" s="8" t="s">
        <v>17</v>
      </c>
      <c r="F611" s="8" t="s">
        <v>18</v>
      </c>
      <c r="G611" s="8">
        <v>1</v>
      </c>
      <c r="H611" s="10">
        <v>1200</v>
      </c>
      <c r="I611" s="11">
        <v>0.08</v>
      </c>
    </row>
    <row r="612" spans="1:9">
      <c r="A612" s="4">
        <v>1611</v>
      </c>
      <c r="B612" s="5">
        <v>45801</v>
      </c>
      <c r="C612" s="4" t="s">
        <v>16</v>
      </c>
      <c r="D612" s="4" t="s">
        <v>10</v>
      </c>
      <c r="E612" s="4" t="s">
        <v>11</v>
      </c>
      <c r="F612" s="4" t="s">
        <v>12</v>
      </c>
      <c r="G612" s="4">
        <v>16</v>
      </c>
      <c r="H612" s="6">
        <v>55000</v>
      </c>
      <c r="I612" s="7">
        <v>0.12</v>
      </c>
    </row>
    <row r="613" spans="1:9">
      <c r="A613" s="8">
        <v>1612</v>
      </c>
      <c r="B613" s="9">
        <v>45739</v>
      </c>
      <c r="C613" s="8" t="s">
        <v>9</v>
      </c>
      <c r="D613" s="8" t="s">
        <v>10</v>
      </c>
      <c r="E613" s="8" t="s">
        <v>17</v>
      </c>
      <c r="F613" s="8" t="s">
        <v>27</v>
      </c>
      <c r="G613" s="8">
        <v>8</v>
      </c>
      <c r="H613" s="10">
        <v>18000</v>
      </c>
      <c r="I613" s="11">
        <v>0.15</v>
      </c>
    </row>
    <row r="614" spans="1:9">
      <c r="A614" s="4">
        <v>1613</v>
      </c>
      <c r="B614" s="5">
        <v>45931</v>
      </c>
      <c r="C614" s="4" t="s">
        <v>38</v>
      </c>
      <c r="D614" s="4" t="s">
        <v>10</v>
      </c>
      <c r="E614" s="4" t="s">
        <v>22</v>
      </c>
      <c r="F614" s="4" t="s">
        <v>23</v>
      </c>
      <c r="G614" s="4">
        <v>2</v>
      </c>
      <c r="H614" s="6">
        <v>42000</v>
      </c>
      <c r="I614" s="7">
        <v>0.05</v>
      </c>
    </row>
    <row r="615" spans="1:9">
      <c r="A615" s="8">
        <v>1614</v>
      </c>
      <c r="B615" s="9">
        <v>45746</v>
      </c>
      <c r="C615" s="8" t="s">
        <v>13</v>
      </c>
      <c r="D615" s="8" t="s">
        <v>10</v>
      </c>
      <c r="E615" s="8" t="s">
        <v>11</v>
      </c>
      <c r="F615" s="8" t="s">
        <v>23</v>
      </c>
      <c r="G615" s="8">
        <v>8</v>
      </c>
      <c r="H615" s="10">
        <v>1200</v>
      </c>
      <c r="I615" s="11">
        <v>0.12</v>
      </c>
    </row>
    <row r="616" spans="1:9">
      <c r="A616" s="4">
        <v>1615</v>
      </c>
      <c r="B616" s="5">
        <v>45960</v>
      </c>
      <c r="C616" s="4" t="s">
        <v>16</v>
      </c>
      <c r="D616" s="4" t="s">
        <v>10</v>
      </c>
      <c r="E616" s="4" t="s">
        <v>17</v>
      </c>
      <c r="F616" s="4" t="s">
        <v>12</v>
      </c>
      <c r="G616" s="4">
        <v>12</v>
      </c>
      <c r="H616" s="6">
        <v>55000</v>
      </c>
      <c r="I616" s="7">
        <v>0.12</v>
      </c>
    </row>
    <row r="617" spans="1:9">
      <c r="A617" s="8">
        <v>1616</v>
      </c>
      <c r="B617" s="9">
        <v>45910</v>
      </c>
      <c r="C617" s="8" t="s">
        <v>25</v>
      </c>
      <c r="D617" s="8" t="s">
        <v>26</v>
      </c>
      <c r="E617" s="8" t="s">
        <v>22</v>
      </c>
      <c r="F617" s="8" t="s">
        <v>18</v>
      </c>
      <c r="G617" s="8">
        <v>10</v>
      </c>
      <c r="H617" s="10">
        <v>11000</v>
      </c>
      <c r="I617" s="11">
        <v>0.05</v>
      </c>
    </row>
    <row r="618" spans="1:9">
      <c r="A618" s="4">
        <v>1617</v>
      </c>
      <c r="B618" s="5">
        <v>45704</v>
      </c>
      <c r="C618" s="4" t="s">
        <v>16</v>
      </c>
      <c r="D618" s="4" t="s">
        <v>10</v>
      </c>
      <c r="E618" s="4" t="s">
        <v>17</v>
      </c>
      <c r="F618" s="4" t="s">
        <v>18</v>
      </c>
      <c r="G618" s="4">
        <v>8</v>
      </c>
      <c r="H618" s="6">
        <v>55000</v>
      </c>
      <c r="I618" s="7">
        <v>0.12</v>
      </c>
    </row>
    <row r="619" spans="1:9">
      <c r="A619" s="8">
        <v>1618</v>
      </c>
      <c r="B619" s="9">
        <v>45927</v>
      </c>
      <c r="C619" s="8" t="s">
        <v>34</v>
      </c>
      <c r="D619" s="8" t="s">
        <v>26</v>
      </c>
      <c r="E619" s="8" t="s">
        <v>17</v>
      </c>
      <c r="F619" s="8" t="s">
        <v>32</v>
      </c>
      <c r="G619" s="8">
        <v>1</v>
      </c>
      <c r="H619" s="10">
        <v>15000</v>
      </c>
      <c r="I619" s="11">
        <v>0.08</v>
      </c>
    </row>
    <row r="620" spans="1:9">
      <c r="A620" s="4">
        <v>1619</v>
      </c>
      <c r="B620" s="5">
        <v>45832</v>
      </c>
      <c r="C620" s="4" t="s">
        <v>39</v>
      </c>
      <c r="D620" s="4" t="s">
        <v>30</v>
      </c>
      <c r="E620" s="4" t="s">
        <v>14</v>
      </c>
      <c r="F620" s="4" t="s">
        <v>18</v>
      </c>
      <c r="G620" s="4">
        <v>6</v>
      </c>
      <c r="H620" s="4">
        <v>180</v>
      </c>
      <c r="I620" s="7">
        <v>0.08</v>
      </c>
    </row>
    <row r="621" spans="1:9">
      <c r="A621" s="8">
        <v>1620</v>
      </c>
      <c r="B621" s="9">
        <v>45733</v>
      </c>
      <c r="C621" s="8" t="s">
        <v>28</v>
      </c>
      <c r="D621" s="8" t="s">
        <v>26</v>
      </c>
      <c r="E621" s="8" t="s">
        <v>11</v>
      </c>
      <c r="F621" s="8" t="s">
        <v>24</v>
      </c>
      <c r="G621" s="8">
        <v>5</v>
      </c>
      <c r="H621" s="10">
        <v>9000</v>
      </c>
      <c r="I621" s="11">
        <v>0</v>
      </c>
    </row>
    <row r="622" spans="1:9">
      <c r="A622" s="4">
        <v>1621</v>
      </c>
      <c r="B622" s="5">
        <v>45849</v>
      </c>
      <c r="C622" s="4" t="s">
        <v>39</v>
      </c>
      <c r="D622" s="4" t="s">
        <v>30</v>
      </c>
      <c r="E622" s="4" t="s">
        <v>14</v>
      </c>
      <c r="F622" s="4" t="s">
        <v>23</v>
      </c>
      <c r="G622" s="4">
        <v>13</v>
      </c>
      <c r="H622" s="4">
        <v>180</v>
      </c>
      <c r="I622" s="7">
        <v>0.12</v>
      </c>
    </row>
    <row r="623" spans="1:9">
      <c r="A623" s="8">
        <v>1622</v>
      </c>
      <c r="B623" s="9">
        <v>45812</v>
      </c>
      <c r="C623" s="8" t="s">
        <v>33</v>
      </c>
      <c r="D623" s="8" t="s">
        <v>10</v>
      </c>
      <c r="E623" s="8" t="s">
        <v>22</v>
      </c>
      <c r="F623" s="8" t="s">
        <v>20</v>
      </c>
      <c r="G623" s="8">
        <v>5</v>
      </c>
      <c r="H623" s="10">
        <v>2500</v>
      </c>
      <c r="I623" s="11">
        <v>0.05</v>
      </c>
    </row>
    <row r="624" spans="1:9">
      <c r="A624" s="4">
        <v>1623</v>
      </c>
      <c r="B624" s="5">
        <v>45990</v>
      </c>
      <c r="C624" s="4" t="s">
        <v>33</v>
      </c>
      <c r="D624" s="4" t="s">
        <v>10</v>
      </c>
      <c r="E624" s="4" t="s">
        <v>11</v>
      </c>
      <c r="F624" s="4" t="s">
        <v>12</v>
      </c>
      <c r="G624" s="4">
        <v>6</v>
      </c>
      <c r="H624" s="6">
        <v>2500</v>
      </c>
      <c r="I624" s="7">
        <v>0.15</v>
      </c>
    </row>
    <row r="625" spans="1:9">
      <c r="A625" s="8">
        <v>1624</v>
      </c>
      <c r="B625" s="9">
        <v>45998</v>
      </c>
      <c r="C625" s="8" t="s">
        <v>28</v>
      </c>
      <c r="D625" s="8" t="s">
        <v>26</v>
      </c>
      <c r="E625" s="8" t="s">
        <v>11</v>
      </c>
      <c r="F625" s="8" t="s">
        <v>27</v>
      </c>
      <c r="G625" s="8">
        <v>6</v>
      </c>
      <c r="H625" s="10">
        <v>9000</v>
      </c>
      <c r="I625" s="11">
        <v>0.1</v>
      </c>
    </row>
    <row r="626" spans="1:9">
      <c r="A626" s="4">
        <v>1625</v>
      </c>
      <c r="B626" s="5">
        <v>45723</v>
      </c>
      <c r="C626" s="4" t="s">
        <v>13</v>
      </c>
      <c r="D626" s="4" t="s">
        <v>10</v>
      </c>
      <c r="E626" s="4" t="s">
        <v>22</v>
      </c>
      <c r="F626" s="4" t="s">
        <v>18</v>
      </c>
      <c r="G626" s="4">
        <v>1</v>
      </c>
      <c r="H626" s="6">
        <v>1200</v>
      </c>
      <c r="I626" s="7">
        <v>0.15</v>
      </c>
    </row>
    <row r="627" spans="1:9">
      <c r="A627" s="8">
        <v>1626</v>
      </c>
      <c r="B627" s="9">
        <v>45751</v>
      </c>
      <c r="C627" s="8" t="s">
        <v>28</v>
      </c>
      <c r="D627" s="8" t="s">
        <v>26</v>
      </c>
      <c r="E627" s="8" t="s">
        <v>17</v>
      </c>
      <c r="F627" s="8" t="s">
        <v>24</v>
      </c>
      <c r="G627" s="8">
        <v>11</v>
      </c>
      <c r="H627" s="10">
        <v>9000</v>
      </c>
      <c r="I627" s="11">
        <v>0.12</v>
      </c>
    </row>
    <row r="628" spans="1:9">
      <c r="A628" s="4">
        <v>1627</v>
      </c>
      <c r="B628" s="5">
        <v>45912</v>
      </c>
      <c r="C628" s="4" t="s">
        <v>13</v>
      </c>
      <c r="D628" s="4" t="s">
        <v>10</v>
      </c>
      <c r="E628" s="4" t="s">
        <v>14</v>
      </c>
      <c r="F628" s="4" t="s">
        <v>12</v>
      </c>
      <c r="G628" s="4">
        <v>11</v>
      </c>
      <c r="H628" s="6">
        <v>1200</v>
      </c>
      <c r="I628" s="7">
        <v>0.15</v>
      </c>
    </row>
    <row r="629" spans="1:9">
      <c r="A629" s="8">
        <v>1628</v>
      </c>
      <c r="B629" s="9">
        <v>45835</v>
      </c>
      <c r="C629" s="8" t="s">
        <v>33</v>
      </c>
      <c r="D629" s="8" t="s">
        <v>10</v>
      </c>
      <c r="E629" s="8" t="s">
        <v>14</v>
      </c>
      <c r="F629" s="8" t="s">
        <v>23</v>
      </c>
      <c r="G629" s="8">
        <v>6</v>
      </c>
      <c r="H629" s="10">
        <v>2500</v>
      </c>
      <c r="I629" s="11">
        <v>0.15</v>
      </c>
    </row>
    <row r="630" spans="1:9">
      <c r="A630" s="4">
        <v>1629</v>
      </c>
      <c r="B630" s="5">
        <v>45886</v>
      </c>
      <c r="C630" s="4" t="s">
        <v>16</v>
      </c>
      <c r="D630" s="4" t="s">
        <v>10</v>
      </c>
      <c r="E630" s="4" t="s">
        <v>17</v>
      </c>
      <c r="F630" s="4" t="s">
        <v>24</v>
      </c>
      <c r="G630" s="4">
        <v>9</v>
      </c>
      <c r="H630" s="6">
        <v>55000</v>
      </c>
      <c r="I630" s="7">
        <v>0.05</v>
      </c>
    </row>
    <row r="631" spans="1:9">
      <c r="A631" s="8">
        <v>1630</v>
      </c>
      <c r="B631" s="9">
        <v>45837</v>
      </c>
      <c r="C631" s="8" t="s">
        <v>21</v>
      </c>
      <c r="D631" s="8" t="s">
        <v>10</v>
      </c>
      <c r="E631" s="8" t="s">
        <v>14</v>
      </c>
      <c r="F631" s="8" t="s">
        <v>18</v>
      </c>
      <c r="G631" s="8">
        <v>4</v>
      </c>
      <c r="H631" s="10">
        <v>14000</v>
      </c>
      <c r="I631" s="11">
        <v>0.15</v>
      </c>
    </row>
    <row r="632" spans="1:9">
      <c r="A632" s="4">
        <v>1631</v>
      </c>
      <c r="B632" s="5">
        <v>45855</v>
      </c>
      <c r="C632" s="4" t="s">
        <v>34</v>
      </c>
      <c r="D632" s="4" t="s">
        <v>26</v>
      </c>
      <c r="E632" s="4" t="s">
        <v>22</v>
      </c>
      <c r="F632" s="4" t="s">
        <v>20</v>
      </c>
      <c r="G632" s="4">
        <v>14</v>
      </c>
      <c r="H632" s="6">
        <v>15000</v>
      </c>
      <c r="I632" s="7">
        <v>0.05</v>
      </c>
    </row>
    <row r="633" spans="1:9">
      <c r="A633" s="8">
        <v>1632</v>
      </c>
      <c r="B633" s="9">
        <v>45851</v>
      </c>
      <c r="C633" s="8" t="s">
        <v>33</v>
      </c>
      <c r="D633" s="8" t="s">
        <v>10</v>
      </c>
      <c r="E633" s="8" t="s">
        <v>14</v>
      </c>
      <c r="F633" s="8" t="s">
        <v>20</v>
      </c>
      <c r="G633" s="8">
        <v>18</v>
      </c>
      <c r="H633" s="10">
        <v>2500</v>
      </c>
      <c r="I633" s="11">
        <v>0.1</v>
      </c>
    </row>
    <row r="634" spans="1:9">
      <c r="A634" s="4">
        <v>1633</v>
      </c>
      <c r="B634" s="5">
        <v>45953</v>
      </c>
      <c r="C634" s="4" t="s">
        <v>29</v>
      </c>
      <c r="D634" s="4" t="s">
        <v>30</v>
      </c>
      <c r="E634" s="4" t="s">
        <v>22</v>
      </c>
      <c r="F634" s="4" t="s">
        <v>24</v>
      </c>
      <c r="G634" s="4">
        <v>8</v>
      </c>
      <c r="H634" s="4">
        <v>250</v>
      </c>
      <c r="I634" s="7">
        <v>0.05</v>
      </c>
    </row>
    <row r="635" spans="1:9">
      <c r="A635" s="8">
        <v>1634</v>
      </c>
      <c r="B635" s="9">
        <v>45675</v>
      </c>
      <c r="C635" s="8" t="s">
        <v>21</v>
      </c>
      <c r="D635" s="8" t="s">
        <v>10</v>
      </c>
      <c r="E635" s="8" t="s">
        <v>11</v>
      </c>
      <c r="F635" s="8" t="s">
        <v>24</v>
      </c>
      <c r="G635" s="8">
        <v>1</v>
      </c>
      <c r="H635" s="10">
        <v>14000</v>
      </c>
      <c r="I635" s="11">
        <v>0.08</v>
      </c>
    </row>
    <row r="636" spans="1:9">
      <c r="A636" s="4">
        <v>1635</v>
      </c>
      <c r="B636" s="5">
        <v>45695</v>
      </c>
      <c r="C636" s="4" t="s">
        <v>33</v>
      </c>
      <c r="D636" s="4" t="s">
        <v>10</v>
      </c>
      <c r="E636" s="4" t="s">
        <v>17</v>
      </c>
      <c r="F636" s="4" t="s">
        <v>24</v>
      </c>
      <c r="G636" s="4">
        <v>6</v>
      </c>
      <c r="H636" s="6">
        <v>2500</v>
      </c>
      <c r="I636" s="7">
        <v>0.1</v>
      </c>
    </row>
    <row r="637" spans="1:9">
      <c r="A637" s="8">
        <v>1636</v>
      </c>
      <c r="B637" s="9">
        <v>45938</v>
      </c>
      <c r="C637" s="8" t="s">
        <v>37</v>
      </c>
      <c r="D637" s="8" t="s">
        <v>36</v>
      </c>
      <c r="E637" s="8" t="s">
        <v>22</v>
      </c>
      <c r="F637" s="8" t="s">
        <v>18</v>
      </c>
      <c r="G637" s="8">
        <v>3</v>
      </c>
      <c r="H637" s="10">
        <v>1800</v>
      </c>
      <c r="I637" s="11">
        <v>0.08</v>
      </c>
    </row>
    <row r="638" spans="1:9">
      <c r="A638" s="4">
        <v>1637</v>
      </c>
      <c r="B638" s="5">
        <v>45878</v>
      </c>
      <c r="C638" s="4" t="s">
        <v>29</v>
      </c>
      <c r="D638" s="4" t="s">
        <v>30</v>
      </c>
      <c r="E638" s="4" t="s">
        <v>22</v>
      </c>
      <c r="F638" s="4" t="s">
        <v>32</v>
      </c>
      <c r="G638" s="4">
        <v>6</v>
      </c>
      <c r="H638" s="4">
        <v>250</v>
      </c>
      <c r="I638" s="7">
        <v>0.12</v>
      </c>
    </row>
    <row r="639" spans="1:9">
      <c r="A639" s="8">
        <v>1638</v>
      </c>
      <c r="B639" s="9">
        <v>45685</v>
      </c>
      <c r="C639" s="8" t="s">
        <v>9</v>
      </c>
      <c r="D639" s="8" t="s">
        <v>10</v>
      </c>
      <c r="E639" s="8" t="s">
        <v>17</v>
      </c>
      <c r="F639" s="8" t="s">
        <v>15</v>
      </c>
      <c r="G639" s="8">
        <v>11</v>
      </c>
      <c r="H639" s="10">
        <v>18000</v>
      </c>
      <c r="I639" s="11">
        <v>0.05</v>
      </c>
    </row>
    <row r="640" spans="1:9">
      <c r="A640" s="4">
        <v>1639</v>
      </c>
      <c r="B640" s="5">
        <v>46014</v>
      </c>
      <c r="C640" s="4" t="s">
        <v>25</v>
      </c>
      <c r="D640" s="4" t="s">
        <v>26</v>
      </c>
      <c r="E640" s="4" t="s">
        <v>11</v>
      </c>
      <c r="F640" s="4" t="s">
        <v>27</v>
      </c>
      <c r="G640" s="4">
        <v>18</v>
      </c>
      <c r="H640" s="6">
        <v>11000</v>
      </c>
      <c r="I640" s="7">
        <v>0.08</v>
      </c>
    </row>
    <row r="641" spans="1:9">
      <c r="A641" s="8">
        <v>1640</v>
      </c>
      <c r="B641" s="9">
        <v>45779</v>
      </c>
      <c r="C641" s="8" t="s">
        <v>9</v>
      </c>
      <c r="D641" s="8" t="s">
        <v>10</v>
      </c>
      <c r="E641" s="8" t="s">
        <v>22</v>
      </c>
      <c r="F641" s="8" t="s">
        <v>32</v>
      </c>
      <c r="G641" s="8">
        <v>2</v>
      </c>
      <c r="H641" s="10">
        <v>18000</v>
      </c>
      <c r="I641" s="11">
        <v>0.1</v>
      </c>
    </row>
    <row r="642" spans="1:9">
      <c r="A642" s="4">
        <v>1641</v>
      </c>
      <c r="B642" s="5">
        <v>45685</v>
      </c>
      <c r="C642" s="4" t="s">
        <v>33</v>
      </c>
      <c r="D642" s="4" t="s">
        <v>10</v>
      </c>
      <c r="E642" s="4" t="s">
        <v>14</v>
      </c>
      <c r="F642" s="4" t="s">
        <v>27</v>
      </c>
      <c r="G642" s="4">
        <v>1</v>
      </c>
      <c r="H642" s="6">
        <v>2500</v>
      </c>
      <c r="I642" s="7">
        <v>0.1</v>
      </c>
    </row>
    <row r="643" spans="1:9">
      <c r="A643" s="8">
        <v>1642</v>
      </c>
      <c r="B643" s="9">
        <v>45996</v>
      </c>
      <c r="C643" s="8" t="s">
        <v>29</v>
      </c>
      <c r="D643" s="8" t="s">
        <v>30</v>
      </c>
      <c r="E643" s="8" t="s">
        <v>17</v>
      </c>
      <c r="F643" s="8" t="s">
        <v>24</v>
      </c>
      <c r="G643" s="8">
        <v>20</v>
      </c>
      <c r="H643" s="8">
        <v>250</v>
      </c>
      <c r="I643" s="11">
        <v>0.1</v>
      </c>
    </row>
    <row r="644" spans="1:9">
      <c r="A644" s="4">
        <v>1643</v>
      </c>
      <c r="B644" s="5">
        <v>45671</v>
      </c>
      <c r="C644" s="4" t="s">
        <v>19</v>
      </c>
      <c r="D644" s="4" t="s">
        <v>10</v>
      </c>
      <c r="E644" s="4" t="s">
        <v>11</v>
      </c>
      <c r="F644" s="4" t="s">
        <v>24</v>
      </c>
      <c r="G644" s="4">
        <v>6</v>
      </c>
      <c r="H644" s="4">
        <v>800</v>
      </c>
      <c r="I644" s="7">
        <v>0.15</v>
      </c>
    </row>
    <row r="645" spans="1:9">
      <c r="A645" s="8">
        <v>1644</v>
      </c>
      <c r="B645" s="9">
        <v>45900</v>
      </c>
      <c r="C645" s="8" t="s">
        <v>38</v>
      </c>
      <c r="D645" s="8" t="s">
        <v>10</v>
      </c>
      <c r="E645" s="8" t="s">
        <v>22</v>
      </c>
      <c r="F645" s="8" t="s">
        <v>20</v>
      </c>
      <c r="G645" s="8">
        <v>4</v>
      </c>
      <c r="H645" s="10">
        <v>42000</v>
      </c>
      <c r="I645" s="11">
        <v>0.08</v>
      </c>
    </row>
    <row r="646" spans="1:9">
      <c r="A646" s="4">
        <v>1645</v>
      </c>
      <c r="B646" s="5">
        <v>45908</v>
      </c>
      <c r="C646" s="4" t="s">
        <v>37</v>
      </c>
      <c r="D646" s="4" t="s">
        <v>36</v>
      </c>
      <c r="E646" s="4" t="s">
        <v>22</v>
      </c>
      <c r="F646" s="4" t="s">
        <v>32</v>
      </c>
      <c r="G646" s="4">
        <v>9</v>
      </c>
      <c r="H646" s="6">
        <v>1800</v>
      </c>
      <c r="I646" s="7">
        <v>0</v>
      </c>
    </row>
    <row r="647" spans="1:9">
      <c r="A647" s="8">
        <v>1646</v>
      </c>
      <c r="B647" s="9">
        <v>45847</v>
      </c>
      <c r="C647" s="8" t="s">
        <v>37</v>
      </c>
      <c r="D647" s="8" t="s">
        <v>36</v>
      </c>
      <c r="E647" s="8" t="s">
        <v>17</v>
      </c>
      <c r="F647" s="8" t="s">
        <v>20</v>
      </c>
      <c r="G647" s="8">
        <v>13</v>
      </c>
      <c r="H647" s="10">
        <v>1800</v>
      </c>
      <c r="I647" s="11">
        <v>0.08</v>
      </c>
    </row>
    <row r="648" spans="1:9">
      <c r="A648" s="4">
        <v>1647</v>
      </c>
      <c r="B648" s="5">
        <v>45680</v>
      </c>
      <c r="C648" s="4" t="s">
        <v>21</v>
      </c>
      <c r="D648" s="4" t="s">
        <v>10</v>
      </c>
      <c r="E648" s="4" t="s">
        <v>11</v>
      </c>
      <c r="F648" s="4" t="s">
        <v>12</v>
      </c>
      <c r="G648" s="4">
        <v>15</v>
      </c>
      <c r="H648" s="6">
        <v>14000</v>
      </c>
      <c r="I648" s="7">
        <v>0.1</v>
      </c>
    </row>
    <row r="649" spans="1:9">
      <c r="A649" s="8">
        <v>1648</v>
      </c>
      <c r="B649" s="9">
        <v>45795</v>
      </c>
      <c r="C649" s="8" t="s">
        <v>28</v>
      </c>
      <c r="D649" s="8" t="s">
        <v>26</v>
      </c>
      <c r="E649" s="8" t="s">
        <v>14</v>
      </c>
      <c r="F649" s="8" t="s">
        <v>24</v>
      </c>
      <c r="G649" s="8">
        <v>2</v>
      </c>
      <c r="H649" s="10">
        <v>9000</v>
      </c>
      <c r="I649" s="11">
        <v>0.05</v>
      </c>
    </row>
    <row r="650" spans="1:9">
      <c r="A650" s="4">
        <v>1649</v>
      </c>
      <c r="B650" s="5">
        <v>46000</v>
      </c>
      <c r="C650" s="4" t="s">
        <v>33</v>
      </c>
      <c r="D650" s="4" t="s">
        <v>10</v>
      </c>
      <c r="E650" s="4" t="s">
        <v>17</v>
      </c>
      <c r="F650" s="4" t="s">
        <v>18</v>
      </c>
      <c r="G650" s="4">
        <v>18</v>
      </c>
      <c r="H650" s="6">
        <v>2500</v>
      </c>
      <c r="I650" s="7">
        <v>0.1</v>
      </c>
    </row>
    <row r="651" spans="1:9">
      <c r="A651" s="8">
        <v>1650</v>
      </c>
      <c r="B651" s="9">
        <v>45856</v>
      </c>
      <c r="C651" s="8" t="s">
        <v>38</v>
      </c>
      <c r="D651" s="8" t="s">
        <v>10</v>
      </c>
      <c r="E651" s="8" t="s">
        <v>22</v>
      </c>
      <c r="F651" s="8" t="s">
        <v>12</v>
      </c>
      <c r="G651" s="8">
        <v>17</v>
      </c>
      <c r="H651" s="10">
        <v>42000</v>
      </c>
      <c r="I651" s="11">
        <v>0.1</v>
      </c>
    </row>
    <row r="652" spans="1:9">
      <c r="A652" s="4">
        <v>1651</v>
      </c>
      <c r="B652" s="5">
        <v>45901</v>
      </c>
      <c r="C652" s="4" t="s">
        <v>21</v>
      </c>
      <c r="D652" s="4" t="s">
        <v>10</v>
      </c>
      <c r="E652" s="4" t="s">
        <v>14</v>
      </c>
      <c r="F652" s="4" t="s">
        <v>32</v>
      </c>
      <c r="G652" s="4">
        <v>3</v>
      </c>
      <c r="H652" s="6">
        <v>14000</v>
      </c>
      <c r="I652" s="7">
        <v>0.1</v>
      </c>
    </row>
    <row r="653" spans="1:9">
      <c r="A653" s="8">
        <v>1652</v>
      </c>
      <c r="B653" s="9">
        <v>45719</v>
      </c>
      <c r="C653" s="8" t="s">
        <v>35</v>
      </c>
      <c r="D653" s="8" t="s">
        <v>36</v>
      </c>
      <c r="E653" s="8" t="s">
        <v>17</v>
      </c>
      <c r="F653" s="8" t="s">
        <v>12</v>
      </c>
      <c r="G653" s="8">
        <v>15</v>
      </c>
      <c r="H653" s="10">
        <v>3500</v>
      </c>
      <c r="I653" s="11">
        <v>0.05</v>
      </c>
    </row>
    <row r="654" spans="1:9">
      <c r="A654" s="4">
        <v>1653</v>
      </c>
      <c r="B654" s="5">
        <v>45756</v>
      </c>
      <c r="C654" s="4" t="s">
        <v>13</v>
      </c>
      <c r="D654" s="4" t="s">
        <v>10</v>
      </c>
      <c r="E654" s="4" t="s">
        <v>14</v>
      </c>
      <c r="F654" s="4" t="s">
        <v>15</v>
      </c>
      <c r="G654" s="4">
        <v>2</v>
      </c>
      <c r="H654" s="6">
        <v>1200</v>
      </c>
      <c r="I654" s="7">
        <v>0.1</v>
      </c>
    </row>
    <row r="655" spans="1:9">
      <c r="A655" s="8">
        <v>1654</v>
      </c>
      <c r="B655" s="9">
        <v>45761</v>
      </c>
      <c r="C655" s="8" t="s">
        <v>38</v>
      </c>
      <c r="D655" s="8" t="s">
        <v>10</v>
      </c>
      <c r="E655" s="8" t="s">
        <v>11</v>
      </c>
      <c r="F655" s="8" t="s">
        <v>23</v>
      </c>
      <c r="G655" s="8">
        <v>5</v>
      </c>
      <c r="H655" s="10">
        <v>42000</v>
      </c>
      <c r="I655" s="11">
        <v>0.12</v>
      </c>
    </row>
    <row r="656" spans="1:9">
      <c r="A656" s="4">
        <v>1655</v>
      </c>
      <c r="B656" s="5">
        <v>45692</v>
      </c>
      <c r="C656" s="4" t="s">
        <v>9</v>
      </c>
      <c r="D656" s="4" t="s">
        <v>10</v>
      </c>
      <c r="E656" s="4" t="s">
        <v>22</v>
      </c>
      <c r="F656" s="4" t="s">
        <v>23</v>
      </c>
      <c r="G656" s="4">
        <v>13</v>
      </c>
      <c r="H656" s="6">
        <v>18000</v>
      </c>
      <c r="I656" s="7">
        <v>0.12</v>
      </c>
    </row>
    <row r="657" spans="1:9">
      <c r="A657" s="8">
        <v>1656</v>
      </c>
      <c r="B657" s="9">
        <v>45799</v>
      </c>
      <c r="C657" s="8" t="s">
        <v>25</v>
      </c>
      <c r="D657" s="8" t="s">
        <v>26</v>
      </c>
      <c r="E657" s="8" t="s">
        <v>22</v>
      </c>
      <c r="F657" s="8" t="s">
        <v>24</v>
      </c>
      <c r="G657" s="8">
        <v>15</v>
      </c>
      <c r="H657" s="10">
        <v>11000</v>
      </c>
      <c r="I657" s="11">
        <v>0</v>
      </c>
    </row>
    <row r="658" spans="1:9">
      <c r="A658" s="4">
        <v>1657</v>
      </c>
      <c r="B658" s="5">
        <v>45870</v>
      </c>
      <c r="C658" s="4" t="s">
        <v>13</v>
      </c>
      <c r="D658" s="4" t="s">
        <v>10</v>
      </c>
      <c r="E658" s="4" t="s">
        <v>14</v>
      </c>
      <c r="F658" s="4" t="s">
        <v>24</v>
      </c>
      <c r="G658" s="4">
        <v>5</v>
      </c>
      <c r="H658" s="6">
        <v>1200</v>
      </c>
      <c r="I658" s="7">
        <v>0.12</v>
      </c>
    </row>
    <row r="659" spans="1:9">
      <c r="A659" s="8">
        <v>1658</v>
      </c>
      <c r="B659" s="9">
        <v>45946</v>
      </c>
      <c r="C659" s="8" t="s">
        <v>35</v>
      </c>
      <c r="D659" s="8" t="s">
        <v>36</v>
      </c>
      <c r="E659" s="8" t="s">
        <v>11</v>
      </c>
      <c r="F659" s="8" t="s">
        <v>15</v>
      </c>
      <c r="G659" s="8">
        <v>4</v>
      </c>
      <c r="H659" s="10">
        <v>3500</v>
      </c>
      <c r="I659" s="11">
        <v>0.08</v>
      </c>
    </row>
    <row r="660" spans="1:9">
      <c r="A660" s="4">
        <v>1659</v>
      </c>
      <c r="B660" s="5">
        <v>45793</v>
      </c>
      <c r="C660" s="4" t="s">
        <v>31</v>
      </c>
      <c r="D660" s="4" t="s">
        <v>26</v>
      </c>
      <c r="E660" s="4" t="s">
        <v>22</v>
      </c>
      <c r="F660" s="4" t="s">
        <v>18</v>
      </c>
      <c r="G660" s="4">
        <v>16</v>
      </c>
      <c r="H660" s="6">
        <v>8500</v>
      </c>
      <c r="I660" s="7">
        <v>0.12</v>
      </c>
    </row>
    <row r="661" spans="1:9">
      <c r="A661" s="8">
        <v>1660</v>
      </c>
      <c r="B661" s="9">
        <v>45746</v>
      </c>
      <c r="C661" s="8" t="s">
        <v>21</v>
      </c>
      <c r="D661" s="8" t="s">
        <v>10</v>
      </c>
      <c r="E661" s="8" t="s">
        <v>22</v>
      </c>
      <c r="F661" s="8" t="s">
        <v>18</v>
      </c>
      <c r="G661" s="8">
        <v>13</v>
      </c>
      <c r="H661" s="10">
        <v>14000</v>
      </c>
      <c r="I661" s="11">
        <v>0.05</v>
      </c>
    </row>
    <row r="662" spans="1:9">
      <c r="A662" s="4">
        <v>1661</v>
      </c>
      <c r="B662" s="5">
        <v>45860</v>
      </c>
      <c r="C662" s="4" t="s">
        <v>37</v>
      </c>
      <c r="D662" s="4" t="s">
        <v>36</v>
      </c>
      <c r="E662" s="4" t="s">
        <v>17</v>
      </c>
      <c r="F662" s="4" t="s">
        <v>18</v>
      </c>
      <c r="G662" s="4">
        <v>11</v>
      </c>
      <c r="H662" s="6">
        <v>1800</v>
      </c>
      <c r="I662" s="7">
        <v>0.15</v>
      </c>
    </row>
    <row r="663" spans="1:9">
      <c r="A663" s="8">
        <v>1662</v>
      </c>
      <c r="B663" s="9">
        <v>45901</v>
      </c>
      <c r="C663" s="8" t="s">
        <v>37</v>
      </c>
      <c r="D663" s="8" t="s">
        <v>36</v>
      </c>
      <c r="E663" s="8" t="s">
        <v>14</v>
      </c>
      <c r="F663" s="8" t="s">
        <v>23</v>
      </c>
      <c r="G663" s="8">
        <v>9</v>
      </c>
      <c r="H663" s="10">
        <v>1800</v>
      </c>
      <c r="I663" s="11">
        <v>0.08</v>
      </c>
    </row>
    <row r="664" spans="1:9">
      <c r="A664" s="4">
        <v>1663</v>
      </c>
      <c r="B664" s="5">
        <v>45813</v>
      </c>
      <c r="C664" s="4" t="s">
        <v>21</v>
      </c>
      <c r="D664" s="4" t="s">
        <v>10</v>
      </c>
      <c r="E664" s="4" t="s">
        <v>14</v>
      </c>
      <c r="F664" s="4" t="s">
        <v>12</v>
      </c>
      <c r="G664" s="4">
        <v>9</v>
      </c>
      <c r="H664" s="6">
        <v>14000</v>
      </c>
      <c r="I664" s="7">
        <v>0.1</v>
      </c>
    </row>
    <row r="665" spans="1:9">
      <c r="A665" s="8">
        <v>1664</v>
      </c>
      <c r="B665" s="9">
        <v>45726</v>
      </c>
      <c r="C665" s="8" t="s">
        <v>21</v>
      </c>
      <c r="D665" s="8" t="s">
        <v>10</v>
      </c>
      <c r="E665" s="8" t="s">
        <v>11</v>
      </c>
      <c r="F665" s="8" t="s">
        <v>15</v>
      </c>
      <c r="G665" s="8">
        <v>15</v>
      </c>
      <c r="H665" s="10">
        <v>14000</v>
      </c>
      <c r="I665" s="11">
        <v>0.08</v>
      </c>
    </row>
    <row r="666" spans="1:9">
      <c r="A666" s="4">
        <v>1665</v>
      </c>
      <c r="B666" s="5">
        <v>45967</v>
      </c>
      <c r="C666" s="4" t="s">
        <v>29</v>
      </c>
      <c r="D666" s="4" t="s">
        <v>30</v>
      </c>
      <c r="E666" s="4" t="s">
        <v>22</v>
      </c>
      <c r="F666" s="4" t="s">
        <v>12</v>
      </c>
      <c r="G666" s="4">
        <v>3</v>
      </c>
      <c r="H666" s="4">
        <v>250</v>
      </c>
      <c r="I666" s="7">
        <v>0.05</v>
      </c>
    </row>
    <row r="667" spans="1:9">
      <c r="A667" s="8">
        <v>1666</v>
      </c>
      <c r="B667" s="9">
        <v>45866</v>
      </c>
      <c r="C667" s="8" t="s">
        <v>39</v>
      </c>
      <c r="D667" s="8" t="s">
        <v>30</v>
      </c>
      <c r="E667" s="8" t="s">
        <v>11</v>
      </c>
      <c r="F667" s="8" t="s">
        <v>18</v>
      </c>
      <c r="G667" s="8">
        <v>16</v>
      </c>
      <c r="H667" s="8">
        <v>180</v>
      </c>
      <c r="I667" s="11">
        <v>0.12</v>
      </c>
    </row>
    <row r="668" spans="1:9">
      <c r="A668" s="4">
        <v>1667</v>
      </c>
      <c r="B668" s="5">
        <v>45921</v>
      </c>
      <c r="C668" s="4" t="s">
        <v>35</v>
      </c>
      <c r="D668" s="4" t="s">
        <v>36</v>
      </c>
      <c r="E668" s="4" t="s">
        <v>11</v>
      </c>
      <c r="F668" s="4" t="s">
        <v>15</v>
      </c>
      <c r="G668" s="4">
        <v>6</v>
      </c>
      <c r="H668" s="6">
        <v>3500</v>
      </c>
      <c r="I668" s="7">
        <v>0</v>
      </c>
    </row>
    <row r="669" spans="1:9">
      <c r="A669" s="8">
        <v>1668</v>
      </c>
      <c r="B669" s="9">
        <v>45727</v>
      </c>
      <c r="C669" s="8" t="s">
        <v>35</v>
      </c>
      <c r="D669" s="8" t="s">
        <v>36</v>
      </c>
      <c r="E669" s="8" t="s">
        <v>14</v>
      </c>
      <c r="F669" s="8" t="s">
        <v>32</v>
      </c>
      <c r="G669" s="8">
        <v>17</v>
      </c>
      <c r="H669" s="10">
        <v>3500</v>
      </c>
      <c r="I669" s="11">
        <v>0.12</v>
      </c>
    </row>
    <row r="670" spans="1:9">
      <c r="A670" s="4">
        <v>1669</v>
      </c>
      <c r="B670" s="5">
        <v>45756</v>
      </c>
      <c r="C670" s="4" t="s">
        <v>37</v>
      </c>
      <c r="D670" s="4" t="s">
        <v>36</v>
      </c>
      <c r="E670" s="4" t="s">
        <v>17</v>
      </c>
      <c r="F670" s="4" t="s">
        <v>18</v>
      </c>
      <c r="G670" s="4">
        <v>7</v>
      </c>
      <c r="H670" s="6">
        <v>1800</v>
      </c>
      <c r="I670" s="7">
        <v>0</v>
      </c>
    </row>
    <row r="671" spans="1:9">
      <c r="A671" s="8">
        <v>1670</v>
      </c>
      <c r="B671" s="9">
        <v>45891</v>
      </c>
      <c r="C671" s="8" t="s">
        <v>16</v>
      </c>
      <c r="D671" s="8" t="s">
        <v>10</v>
      </c>
      <c r="E671" s="8" t="s">
        <v>17</v>
      </c>
      <c r="F671" s="8" t="s">
        <v>27</v>
      </c>
      <c r="G671" s="8">
        <v>12</v>
      </c>
      <c r="H671" s="10">
        <v>55000</v>
      </c>
      <c r="I671" s="11">
        <v>0.15</v>
      </c>
    </row>
    <row r="672" spans="1:9">
      <c r="A672" s="4">
        <v>1671</v>
      </c>
      <c r="B672" s="5">
        <v>45846</v>
      </c>
      <c r="C672" s="4" t="s">
        <v>38</v>
      </c>
      <c r="D672" s="4" t="s">
        <v>10</v>
      </c>
      <c r="E672" s="4" t="s">
        <v>22</v>
      </c>
      <c r="F672" s="4" t="s">
        <v>24</v>
      </c>
      <c r="G672" s="4">
        <v>15</v>
      </c>
      <c r="H672" s="6">
        <v>42000</v>
      </c>
      <c r="I672" s="7">
        <v>0.12</v>
      </c>
    </row>
    <row r="673" spans="1:9">
      <c r="A673" s="8">
        <v>1672</v>
      </c>
      <c r="B673" s="9">
        <v>46006</v>
      </c>
      <c r="C673" s="8" t="s">
        <v>16</v>
      </c>
      <c r="D673" s="8" t="s">
        <v>10</v>
      </c>
      <c r="E673" s="8" t="s">
        <v>22</v>
      </c>
      <c r="F673" s="8" t="s">
        <v>20</v>
      </c>
      <c r="G673" s="8">
        <v>8</v>
      </c>
      <c r="H673" s="10">
        <v>55000</v>
      </c>
      <c r="I673" s="11">
        <v>0.08</v>
      </c>
    </row>
    <row r="674" spans="1:9">
      <c r="A674" s="4">
        <v>1673</v>
      </c>
      <c r="B674" s="5">
        <v>45748</v>
      </c>
      <c r="C674" s="4" t="s">
        <v>38</v>
      </c>
      <c r="D674" s="4" t="s">
        <v>10</v>
      </c>
      <c r="E674" s="4" t="s">
        <v>11</v>
      </c>
      <c r="F674" s="4" t="s">
        <v>23</v>
      </c>
      <c r="G674" s="4">
        <v>16</v>
      </c>
      <c r="H674" s="6">
        <v>42000</v>
      </c>
      <c r="I674" s="7">
        <v>0.12</v>
      </c>
    </row>
    <row r="675" spans="1:9">
      <c r="A675" s="8">
        <v>1674</v>
      </c>
      <c r="B675" s="9">
        <v>45741</v>
      </c>
      <c r="C675" s="8" t="s">
        <v>38</v>
      </c>
      <c r="D675" s="8" t="s">
        <v>10</v>
      </c>
      <c r="E675" s="8" t="s">
        <v>14</v>
      </c>
      <c r="F675" s="8" t="s">
        <v>27</v>
      </c>
      <c r="G675" s="8">
        <v>9</v>
      </c>
      <c r="H675" s="10">
        <v>42000</v>
      </c>
      <c r="I675" s="11">
        <v>0.15</v>
      </c>
    </row>
    <row r="676" spans="1:9">
      <c r="A676" s="4">
        <v>1675</v>
      </c>
      <c r="B676" s="5">
        <v>45672</v>
      </c>
      <c r="C676" s="4" t="s">
        <v>43</v>
      </c>
      <c r="D676" s="4" t="s">
        <v>26</v>
      </c>
      <c r="E676" s="4" t="s">
        <v>17</v>
      </c>
      <c r="F676" s="4" t="s">
        <v>12</v>
      </c>
      <c r="G676" s="4">
        <v>2</v>
      </c>
      <c r="H676" s="6">
        <v>8500</v>
      </c>
      <c r="I676" s="7">
        <v>0.05</v>
      </c>
    </row>
    <row r="677" spans="1:9">
      <c r="A677" s="8">
        <v>1676</v>
      </c>
      <c r="B677" s="9">
        <v>45989</v>
      </c>
      <c r="C677" s="8" t="s">
        <v>19</v>
      </c>
      <c r="D677" s="8" t="s">
        <v>10</v>
      </c>
      <c r="E677" s="8" t="s">
        <v>22</v>
      </c>
      <c r="F677" s="8" t="s">
        <v>18</v>
      </c>
      <c r="G677" s="8">
        <v>7</v>
      </c>
      <c r="H677" s="8">
        <v>800</v>
      </c>
      <c r="I677" s="11">
        <v>0.08</v>
      </c>
    </row>
    <row r="678" spans="1:9">
      <c r="A678" s="4">
        <v>1677</v>
      </c>
      <c r="B678" s="5">
        <v>46007</v>
      </c>
      <c r="C678" s="4" t="s">
        <v>16</v>
      </c>
      <c r="D678" s="4" t="s">
        <v>10</v>
      </c>
      <c r="E678" s="4" t="s">
        <v>17</v>
      </c>
      <c r="F678" s="4" t="s">
        <v>18</v>
      </c>
      <c r="G678" s="4">
        <v>16</v>
      </c>
      <c r="H678" s="6">
        <v>55000</v>
      </c>
      <c r="I678" s="7">
        <v>0.05</v>
      </c>
    </row>
    <row r="679" spans="1:9">
      <c r="A679" s="8">
        <v>1678</v>
      </c>
      <c r="B679" s="9">
        <v>45772</v>
      </c>
      <c r="C679" s="8" t="s">
        <v>21</v>
      </c>
      <c r="D679" s="8" t="s">
        <v>10</v>
      </c>
      <c r="E679" s="8" t="s">
        <v>11</v>
      </c>
      <c r="F679" s="8" t="s">
        <v>15</v>
      </c>
      <c r="G679" s="8">
        <v>20</v>
      </c>
      <c r="H679" s="10">
        <v>14000</v>
      </c>
      <c r="I679" s="11">
        <v>0.08</v>
      </c>
    </row>
    <row r="680" spans="1:9">
      <c r="A680" s="4">
        <v>1679</v>
      </c>
      <c r="B680" s="5">
        <v>45850</v>
      </c>
      <c r="C680" s="4" t="s">
        <v>38</v>
      </c>
      <c r="D680" s="4" t="s">
        <v>10</v>
      </c>
      <c r="E680" s="4" t="s">
        <v>11</v>
      </c>
      <c r="F680" s="4" t="s">
        <v>12</v>
      </c>
      <c r="G680" s="4">
        <v>12</v>
      </c>
      <c r="H680" s="6">
        <v>42000</v>
      </c>
      <c r="I680" s="7">
        <v>0.1</v>
      </c>
    </row>
    <row r="681" spans="1:9">
      <c r="A681" s="8">
        <v>1680</v>
      </c>
      <c r="B681" s="9">
        <v>45896</v>
      </c>
      <c r="C681" s="8" t="s">
        <v>21</v>
      </c>
      <c r="D681" s="8" t="s">
        <v>10</v>
      </c>
      <c r="E681" s="8" t="s">
        <v>22</v>
      </c>
      <c r="F681" s="8" t="s">
        <v>24</v>
      </c>
      <c r="G681" s="8">
        <v>17</v>
      </c>
      <c r="H681" s="10">
        <v>14000</v>
      </c>
      <c r="I681" s="11">
        <v>0.12</v>
      </c>
    </row>
    <row r="682" spans="1:9">
      <c r="A682" s="4">
        <v>1681</v>
      </c>
      <c r="B682" s="5">
        <v>45661</v>
      </c>
      <c r="C682" s="4" t="s">
        <v>25</v>
      </c>
      <c r="D682" s="4" t="s">
        <v>26</v>
      </c>
      <c r="E682" s="4" t="s">
        <v>11</v>
      </c>
      <c r="F682" s="4" t="s">
        <v>27</v>
      </c>
      <c r="G682" s="4">
        <v>12</v>
      </c>
      <c r="H682" s="6">
        <v>11000</v>
      </c>
      <c r="I682" s="7">
        <v>0.12</v>
      </c>
    </row>
    <row r="683" spans="1:9">
      <c r="A683" s="8">
        <v>1682</v>
      </c>
      <c r="B683" s="9">
        <v>46008</v>
      </c>
      <c r="C683" s="8" t="s">
        <v>9</v>
      </c>
      <c r="D683" s="8" t="s">
        <v>10</v>
      </c>
      <c r="E683" s="8" t="s">
        <v>11</v>
      </c>
      <c r="F683" s="8" t="s">
        <v>27</v>
      </c>
      <c r="G683" s="8">
        <v>16</v>
      </c>
      <c r="H683" s="10">
        <v>18000</v>
      </c>
      <c r="I683" s="11">
        <v>0</v>
      </c>
    </row>
    <row r="684" spans="1:9">
      <c r="A684" s="4">
        <v>1683</v>
      </c>
      <c r="B684" s="5">
        <v>45985</v>
      </c>
      <c r="C684" s="4" t="s">
        <v>33</v>
      </c>
      <c r="D684" s="4" t="s">
        <v>10</v>
      </c>
      <c r="E684" s="4" t="s">
        <v>11</v>
      </c>
      <c r="F684" s="4" t="s">
        <v>12</v>
      </c>
      <c r="G684" s="4">
        <v>9</v>
      </c>
      <c r="H684" s="6">
        <v>2500</v>
      </c>
      <c r="I684" s="7">
        <v>0.08</v>
      </c>
    </row>
    <row r="685" spans="1:9">
      <c r="A685" s="8">
        <v>1684</v>
      </c>
      <c r="B685" s="9">
        <v>45734</v>
      </c>
      <c r="C685" s="8" t="s">
        <v>25</v>
      </c>
      <c r="D685" s="8" t="s">
        <v>26</v>
      </c>
      <c r="E685" s="8" t="s">
        <v>22</v>
      </c>
      <c r="F685" s="8" t="s">
        <v>23</v>
      </c>
      <c r="G685" s="8">
        <v>8</v>
      </c>
      <c r="H685" s="10">
        <v>11000</v>
      </c>
      <c r="I685" s="11">
        <v>0</v>
      </c>
    </row>
    <row r="686" spans="1:9">
      <c r="A686" s="4">
        <v>1685</v>
      </c>
      <c r="B686" s="5">
        <v>46006</v>
      </c>
      <c r="C686" s="4" t="s">
        <v>13</v>
      </c>
      <c r="D686" s="4" t="s">
        <v>10</v>
      </c>
      <c r="E686" s="4" t="s">
        <v>22</v>
      </c>
      <c r="F686" s="4" t="s">
        <v>27</v>
      </c>
      <c r="G686" s="4">
        <v>1</v>
      </c>
      <c r="H686" s="6">
        <v>1200</v>
      </c>
      <c r="I686" s="7">
        <v>0.15</v>
      </c>
    </row>
    <row r="687" spans="1:9">
      <c r="A687" s="8">
        <v>1686</v>
      </c>
      <c r="B687" s="9">
        <v>45790</v>
      </c>
      <c r="C687" s="8" t="s">
        <v>37</v>
      </c>
      <c r="D687" s="8" t="s">
        <v>36</v>
      </c>
      <c r="E687" s="8" t="s">
        <v>22</v>
      </c>
      <c r="F687" s="8" t="s">
        <v>18</v>
      </c>
      <c r="G687" s="8">
        <v>14</v>
      </c>
      <c r="H687" s="10">
        <v>1800</v>
      </c>
      <c r="I687" s="11">
        <v>0.1</v>
      </c>
    </row>
    <row r="688" spans="1:9">
      <c r="A688" s="4">
        <v>1687</v>
      </c>
      <c r="B688" s="5">
        <v>45956</v>
      </c>
      <c r="C688" s="4" t="s">
        <v>39</v>
      </c>
      <c r="D688" s="4" t="s">
        <v>30</v>
      </c>
      <c r="E688" s="4" t="s">
        <v>11</v>
      </c>
      <c r="F688" s="4" t="s">
        <v>12</v>
      </c>
      <c r="G688" s="4">
        <v>19</v>
      </c>
      <c r="H688" s="4">
        <v>180</v>
      </c>
      <c r="I688" s="7">
        <v>0.05</v>
      </c>
    </row>
    <row r="689" spans="1:9">
      <c r="A689" s="8">
        <v>1688</v>
      </c>
      <c r="B689" s="9">
        <v>46009</v>
      </c>
      <c r="C689" s="8" t="s">
        <v>25</v>
      </c>
      <c r="D689" s="8" t="s">
        <v>26</v>
      </c>
      <c r="E689" s="8" t="s">
        <v>11</v>
      </c>
      <c r="F689" s="8" t="s">
        <v>27</v>
      </c>
      <c r="G689" s="8">
        <v>16</v>
      </c>
      <c r="H689" s="10">
        <v>11000</v>
      </c>
      <c r="I689" s="11">
        <v>0.15</v>
      </c>
    </row>
    <row r="690" spans="1:9">
      <c r="A690" s="4">
        <v>1689</v>
      </c>
      <c r="B690" s="5">
        <v>45745</v>
      </c>
      <c r="C690" s="4" t="s">
        <v>38</v>
      </c>
      <c r="D690" s="4" t="s">
        <v>10</v>
      </c>
      <c r="E690" s="4" t="s">
        <v>11</v>
      </c>
      <c r="F690" s="4" t="s">
        <v>24</v>
      </c>
      <c r="G690" s="4">
        <v>18</v>
      </c>
      <c r="H690" s="6">
        <v>42000</v>
      </c>
      <c r="I690" s="7">
        <v>0.05</v>
      </c>
    </row>
    <row r="691" spans="1:9">
      <c r="A691" s="8">
        <v>1690</v>
      </c>
      <c r="B691" s="9">
        <v>45899</v>
      </c>
      <c r="C691" s="8" t="s">
        <v>13</v>
      </c>
      <c r="D691" s="8" t="s">
        <v>10</v>
      </c>
      <c r="E691" s="8" t="s">
        <v>17</v>
      </c>
      <c r="F691" s="8" t="s">
        <v>23</v>
      </c>
      <c r="G691" s="8">
        <v>9</v>
      </c>
      <c r="H691" s="10">
        <v>1200</v>
      </c>
      <c r="I691" s="11">
        <v>0.15</v>
      </c>
    </row>
    <row r="692" spans="1:9">
      <c r="A692" s="4">
        <v>1691</v>
      </c>
      <c r="B692" s="5">
        <v>45993</v>
      </c>
      <c r="C692" s="4" t="s">
        <v>9</v>
      </c>
      <c r="D692" s="4" t="s">
        <v>10</v>
      </c>
      <c r="E692" s="4" t="s">
        <v>17</v>
      </c>
      <c r="F692" s="4" t="s">
        <v>27</v>
      </c>
      <c r="G692" s="4">
        <v>8</v>
      </c>
      <c r="H692" s="6">
        <v>18000</v>
      </c>
      <c r="I692" s="7">
        <v>0.08</v>
      </c>
    </row>
    <row r="693" spans="1:9">
      <c r="A693" s="8">
        <v>1692</v>
      </c>
      <c r="B693" s="9">
        <v>45873</v>
      </c>
      <c r="C693" s="8" t="s">
        <v>35</v>
      </c>
      <c r="D693" s="8" t="s">
        <v>36</v>
      </c>
      <c r="E693" s="8" t="s">
        <v>11</v>
      </c>
      <c r="F693" s="8" t="s">
        <v>27</v>
      </c>
      <c r="G693" s="8">
        <v>11</v>
      </c>
      <c r="H693" s="10">
        <v>3500</v>
      </c>
      <c r="I693" s="11">
        <v>0.08</v>
      </c>
    </row>
    <row r="694" spans="1:9">
      <c r="A694" s="4">
        <v>1693</v>
      </c>
      <c r="B694" s="5">
        <v>45895</v>
      </c>
      <c r="C694" s="4" t="s">
        <v>38</v>
      </c>
      <c r="D694" s="4" t="s">
        <v>10</v>
      </c>
      <c r="E694" s="4" t="s">
        <v>14</v>
      </c>
      <c r="F694" s="4" t="s">
        <v>24</v>
      </c>
      <c r="G694" s="4">
        <v>4</v>
      </c>
      <c r="H694" s="6">
        <v>42000</v>
      </c>
      <c r="I694" s="7">
        <v>0.1</v>
      </c>
    </row>
    <row r="695" spans="1:9">
      <c r="A695" s="8">
        <v>1694</v>
      </c>
      <c r="B695" s="9">
        <v>45899</v>
      </c>
      <c r="C695" s="8" t="s">
        <v>37</v>
      </c>
      <c r="D695" s="8" t="s">
        <v>36</v>
      </c>
      <c r="E695" s="8" t="s">
        <v>14</v>
      </c>
      <c r="F695" s="8" t="s">
        <v>15</v>
      </c>
      <c r="G695" s="8">
        <v>7</v>
      </c>
      <c r="H695" s="10">
        <v>1800</v>
      </c>
      <c r="I695" s="11">
        <v>0.12</v>
      </c>
    </row>
    <row r="696" spans="1:9">
      <c r="A696" s="4">
        <v>1695</v>
      </c>
      <c r="B696" s="5">
        <v>45929</v>
      </c>
      <c r="C696" s="4" t="s">
        <v>21</v>
      </c>
      <c r="D696" s="4" t="s">
        <v>10</v>
      </c>
      <c r="E696" s="4" t="s">
        <v>17</v>
      </c>
      <c r="F696" s="4" t="s">
        <v>32</v>
      </c>
      <c r="G696" s="4">
        <v>14</v>
      </c>
      <c r="H696" s="6">
        <v>14000</v>
      </c>
      <c r="I696" s="7">
        <v>0</v>
      </c>
    </row>
    <row r="697" spans="1:9">
      <c r="A697" s="8">
        <v>1696</v>
      </c>
      <c r="B697" s="9">
        <v>45760</v>
      </c>
      <c r="C697" s="8" t="s">
        <v>33</v>
      </c>
      <c r="D697" s="8" t="s">
        <v>10</v>
      </c>
      <c r="E697" s="8" t="s">
        <v>22</v>
      </c>
      <c r="F697" s="8" t="s">
        <v>32</v>
      </c>
      <c r="G697" s="8">
        <v>14</v>
      </c>
      <c r="H697" s="10">
        <v>2500</v>
      </c>
      <c r="I697" s="11">
        <v>0.12</v>
      </c>
    </row>
    <row r="698" spans="1:9">
      <c r="A698" s="4">
        <v>1697</v>
      </c>
      <c r="B698" s="5">
        <v>45819</v>
      </c>
      <c r="C698" s="4" t="s">
        <v>38</v>
      </c>
      <c r="D698" s="4" t="s">
        <v>10</v>
      </c>
      <c r="E698" s="4" t="s">
        <v>22</v>
      </c>
      <c r="F698" s="4" t="s">
        <v>23</v>
      </c>
      <c r="G698" s="4">
        <v>6</v>
      </c>
      <c r="H698" s="6">
        <v>42000</v>
      </c>
      <c r="I698" s="7">
        <v>0</v>
      </c>
    </row>
    <row r="699" spans="1:9">
      <c r="A699" s="8">
        <v>1698</v>
      </c>
      <c r="B699" s="9">
        <v>45981</v>
      </c>
      <c r="C699" s="8" t="s">
        <v>13</v>
      </c>
      <c r="D699" s="8" t="s">
        <v>10</v>
      </c>
      <c r="E699" s="8" t="s">
        <v>14</v>
      </c>
      <c r="F699" s="8" t="s">
        <v>18</v>
      </c>
      <c r="G699" s="8">
        <v>11</v>
      </c>
      <c r="H699" s="10">
        <v>1200</v>
      </c>
      <c r="I699" s="11">
        <v>0.15</v>
      </c>
    </row>
    <row r="700" spans="1:9">
      <c r="A700" s="4">
        <v>1699</v>
      </c>
      <c r="B700" s="5">
        <v>45889</v>
      </c>
      <c r="C700" s="4" t="s">
        <v>21</v>
      </c>
      <c r="D700" s="4" t="s">
        <v>10</v>
      </c>
      <c r="E700" s="4" t="s">
        <v>17</v>
      </c>
      <c r="F700" s="4" t="s">
        <v>20</v>
      </c>
      <c r="G700" s="4">
        <v>7</v>
      </c>
      <c r="H700" s="6">
        <v>14000</v>
      </c>
      <c r="I700" s="7">
        <v>0.05</v>
      </c>
    </row>
    <row r="701" spans="1:9">
      <c r="A701" s="8">
        <v>1700</v>
      </c>
      <c r="B701" s="9">
        <v>45703</v>
      </c>
      <c r="C701" s="8" t="s">
        <v>13</v>
      </c>
      <c r="D701" s="8" t="s">
        <v>10</v>
      </c>
      <c r="E701" s="8" t="s">
        <v>22</v>
      </c>
      <c r="F701" s="8" t="s">
        <v>15</v>
      </c>
      <c r="G701" s="8">
        <v>20</v>
      </c>
      <c r="H701" s="10">
        <v>1200</v>
      </c>
      <c r="I701" s="11">
        <v>0.1</v>
      </c>
    </row>
    <row r="702" spans="1:9">
      <c r="A702" s="4">
        <v>1701</v>
      </c>
      <c r="B702" s="5">
        <v>45877</v>
      </c>
      <c r="C702" s="4" t="s">
        <v>34</v>
      </c>
      <c r="D702" s="4" t="s">
        <v>26</v>
      </c>
      <c r="E702" s="4" t="s">
        <v>14</v>
      </c>
      <c r="F702" s="4" t="s">
        <v>12</v>
      </c>
      <c r="G702" s="4">
        <v>13</v>
      </c>
      <c r="H702" s="6">
        <v>15000</v>
      </c>
      <c r="I702" s="7">
        <v>0</v>
      </c>
    </row>
    <row r="703" spans="1:9">
      <c r="A703" s="8">
        <v>1702</v>
      </c>
      <c r="B703" s="9">
        <v>45849</v>
      </c>
      <c r="C703" s="8" t="s">
        <v>16</v>
      </c>
      <c r="D703" s="8" t="s">
        <v>10</v>
      </c>
      <c r="E703" s="8" t="s">
        <v>17</v>
      </c>
      <c r="F703" s="8" t="s">
        <v>18</v>
      </c>
      <c r="G703" s="8">
        <v>11</v>
      </c>
      <c r="H703" s="10">
        <v>55000</v>
      </c>
      <c r="I703" s="11">
        <v>0.12</v>
      </c>
    </row>
    <row r="704" spans="1:9">
      <c r="A704" s="4">
        <v>1703</v>
      </c>
      <c r="B704" s="5">
        <v>46004</v>
      </c>
      <c r="C704" s="4" t="s">
        <v>16</v>
      </c>
      <c r="D704" s="4" t="s">
        <v>10</v>
      </c>
      <c r="E704" s="4" t="s">
        <v>11</v>
      </c>
      <c r="F704" s="4" t="s">
        <v>27</v>
      </c>
      <c r="G704" s="4">
        <v>8</v>
      </c>
      <c r="H704" s="6">
        <v>55000</v>
      </c>
      <c r="I704" s="7">
        <v>0.05</v>
      </c>
    </row>
    <row r="705" spans="1:9">
      <c r="A705" s="8">
        <v>1704</v>
      </c>
      <c r="B705" s="9">
        <v>45724</v>
      </c>
      <c r="C705" s="8" t="s">
        <v>9</v>
      </c>
      <c r="D705" s="8" t="s">
        <v>10</v>
      </c>
      <c r="E705" s="8" t="s">
        <v>11</v>
      </c>
      <c r="F705" s="8" t="s">
        <v>32</v>
      </c>
      <c r="G705" s="8">
        <v>13</v>
      </c>
      <c r="H705" s="10">
        <v>18000</v>
      </c>
      <c r="I705" s="11">
        <v>0.12</v>
      </c>
    </row>
    <row r="706" spans="1:9">
      <c r="A706" s="4">
        <v>1705</v>
      </c>
      <c r="B706" s="5">
        <v>45691</v>
      </c>
      <c r="C706" s="4" t="s">
        <v>38</v>
      </c>
      <c r="D706" s="4" t="s">
        <v>10</v>
      </c>
      <c r="E706" s="4" t="s">
        <v>11</v>
      </c>
      <c r="F706" s="4" t="s">
        <v>20</v>
      </c>
      <c r="G706" s="4">
        <v>2</v>
      </c>
      <c r="H706" s="6">
        <v>42000</v>
      </c>
      <c r="I706" s="7">
        <v>0.08</v>
      </c>
    </row>
    <row r="707" spans="1:9">
      <c r="A707" s="8">
        <v>1706</v>
      </c>
      <c r="B707" s="9">
        <v>45924</v>
      </c>
      <c r="C707" s="8" t="s">
        <v>28</v>
      </c>
      <c r="D707" s="8" t="s">
        <v>26</v>
      </c>
      <c r="E707" s="8" t="s">
        <v>22</v>
      </c>
      <c r="F707" s="8" t="s">
        <v>32</v>
      </c>
      <c r="G707" s="8">
        <v>17</v>
      </c>
      <c r="H707" s="10">
        <v>9000</v>
      </c>
      <c r="I707" s="11">
        <v>0.08</v>
      </c>
    </row>
    <row r="708" spans="1:9">
      <c r="A708" s="4">
        <v>1707</v>
      </c>
      <c r="B708" s="5">
        <v>45833</v>
      </c>
      <c r="C708" s="4" t="s">
        <v>37</v>
      </c>
      <c r="D708" s="4" t="s">
        <v>36</v>
      </c>
      <c r="E708" s="4" t="s">
        <v>17</v>
      </c>
      <c r="F708" s="4" t="s">
        <v>32</v>
      </c>
      <c r="G708" s="4">
        <v>16</v>
      </c>
      <c r="H708" s="6">
        <v>1800</v>
      </c>
      <c r="I708" s="7">
        <v>0.08</v>
      </c>
    </row>
    <row r="709" spans="1:9">
      <c r="A709" s="8">
        <v>1708</v>
      </c>
      <c r="B709" s="9">
        <v>45864</v>
      </c>
      <c r="C709" s="8" t="s">
        <v>16</v>
      </c>
      <c r="D709" s="8" t="s">
        <v>10</v>
      </c>
      <c r="E709" s="8" t="s">
        <v>17</v>
      </c>
      <c r="F709" s="8" t="s">
        <v>12</v>
      </c>
      <c r="G709" s="8">
        <v>8</v>
      </c>
      <c r="H709" s="10">
        <v>55000</v>
      </c>
      <c r="I709" s="11">
        <v>0.05</v>
      </c>
    </row>
    <row r="710" spans="1:9">
      <c r="A710" s="4">
        <v>1709</v>
      </c>
      <c r="B710" s="5">
        <v>45669</v>
      </c>
      <c r="C710" s="4" t="s">
        <v>28</v>
      </c>
      <c r="D710" s="4" t="s">
        <v>26</v>
      </c>
      <c r="E710" s="4" t="s">
        <v>14</v>
      </c>
      <c r="F710" s="4" t="s">
        <v>23</v>
      </c>
      <c r="G710" s="4">
        <v>17</v>
      </c>
      <c r="H710" s="6">
        <v>9000</v>
      </c>
      <c r="I710" s="7">
        <v>0.05</v>
      </c>
    </row>
    <row r="711" spans="1:9">
      <c r="A711" s="8">
        <v>1710</v>
      </c>
      <c r="B711" s="9">
        <v>46022</v>
      </c>
      <c r="C711" s="8" t="s">
        <v>29</v>
      </c>
      <c r="D711" s="8" t="s">
        <v>30</v>
      </c>
      <c r="E711" s="8" t="s">
        <v>11</v>
      </c>
      <c r="F711" s="8" t="s">
        <v>18</v>
      </c>
      <c r="G711" s="8">
        <v>2</v>
      </c>
      <c r="H711" s="8">
        <v>250</v>
      </c>
      <c r="I711" s="11">
        <v>0.1</v>
      </c>
    </row>
    <row r="712" spans="1:9">
      <c r="A712" s="4">
        <v>1711</v>
      </c>
      <c r="B712" s="5">
        <v>45962</v>
      </c>
      <c r="C712" s="4" t="s">
        <v>16</v>
      </c>
      <c r="D712" s="4" t="s">
        <v>10</v>
      </c>
      <c r="E712" s="4" t="s">
        <v>14</v>
      </c>
      <c r="F712" s="4" t="s">
        <v>18</v>
      </c>
      <c r="G712" s="4">
        <v>4</v>
      </c>
      <c r="H712" s="6">
        <v>55000</v>
      </c>
      <c r="I712" s="7">
        <v>0.15</v>
      </c>
    </row>
    <row r="713" spans="1:9">
      <c r="A713" s="8">
        <v>1712</v>
      </c>
      <c r="B713" s="9">
        <v>46011</v>
      </c>
      <c r="C713" s="8" t="s">
        <v>9</v>
      </c>
      <c r="D713" s="8" t="s">
        <v>10</v>
      </c>
      <c r="E713" s="8" t="s">
        <v>22</v>
      </c>
      <c r="F713" s="8" t="s">
        <v>24</v>
      </c>
      <c r="G713" s="8">
        <v>14</v>
      </c>
      <c r="H713" s="10">
        <v>18000</v>
      </c>
      <c r="I713" s="11">
        <v>0.1</v>
      </c>
    </row>
    <row r="714" spans="1:9">
      <c r="A714" s="4">
        <v>1713</v>
      </c>
      <c r="B714" s="5">
        <v>45938</v>
      </c>
      <c r="C714" s="4" t="s">
        <v>21</v>
      </c>
      <c r="D714" s="4" t="s">
        <v>10</v>
      </c>
      <c r="E714" s="4" t="s">
        <v>17</v>
      </c>
      <c r="F714" s="4" t="s">
        <v>12</v>
      </c>
      <c r="G714" s="4">
        <v>16</v>
      </c>
      <c r="H714" s="6">
        <v>14000</v>
      </c>
      <c r="I714" s="7">
        <v>0.15</v>
      </c>
    </row>
    <row r="715" spans="1:9">
      <c r="A715" s="8">
        <v>1714</v>
      </c>
      <c r="B715" s="9">
        <v>46013</v>
      </c>
      <c r="C715" s="8" t="s">
        <v>29</v>
      </c>
      <c r="D715" s="8" t="s">
        <v>30</v>
      </c>
      <c r="E715" s="8" t="s">
        <v>22</v>
      </c>
      <c r="F715" s="8" t="s">
        <v>24</v>
      </c>
      <c r="G715" s="8">
        <v>1</v>
      </c>
      <c r="H715" s="8">
        <v>250</v>
      </c>
      <c r="I715" s="11">
        <v>0.08</v>
      </c>
    </row>
    <row r="716" spans="1:9">
      <c r="A716" s="4">
        <v>1715</v>
      </c>
      <c r="B716" s="5">
        <v>45997</v>
      </c>
      <c r="C716" s="4" t="s">
        <v>25</v>
      </c>
      <c r="D716" s="4" t="s">
        <v>26</v>
      </c>
      <c r="E716" s="4" t="s">
        <v>17</v>
      </c>
      <c r="F716" s="4" t="s">
        <v>15</v>
      </c>
      <c r="G716" s="4">
        <v>9</v>
      </c>
      <c r="H716" s="6">
        <v>11000</v>
      </c>
      <c r="I716" s="7">
        <v>0.12</v>
      </c>
    </row>
    <row r="717" spans="1:9">
      <c r="A717" s="8">
        <v>1716</v>
      </c>
      <c r="B717" s="9">
        <v>45711</v>
      </c>
      <c r="C717" s="8" t="s">
        <v>25</v>
      </c>
      <c r="D717" s="8" t="s">
        <v>26</v>
      </c>
      <c r="E717" s="8" t="s">
        <v>11</v>
      </c>
      <c r="F717" s="8" t="s">
        <v>24</v>
      </c>
      <c r="G717" s="8">
        <v>20</v>
      </c>
      <c r="H717" s="10">
        <v>11000</v>
      </c>
      <c r="I717" s="11">
        <v>0</v>
      </c>
    </row>
    <row r="718" spans="1:9">
      <c r="A718" s="4">
        <v>1717</v>
      </c>
      <c r="B718" s="5">
        <v>45712</v>
      </c>
      <c r="C718" s="4" t="s">
        <v>34</v>
      </c>
      <c r="D718" s="4" t="s">
        <v>26</v>
      </c>
      <c r="E718" s="4" t="s">
        <v>17</v>
      </c>
      <c r="F718" s="4" t="s">
        <v>27</v>
      </c>
      <c r="G718" s="4">
        <v>7</v>
      </c>
      <c r="H718" s="6">
        <v>15000</v>
      </c>
      <c r="I718" s="7">
        <v>0.12</v>
      </c>
    </row>
    <row r="719" spans="1:9">
      <c r="A719" s="8">
        <v>1718</v>
      </c>
      <c r="B719" s="9">
        <v>45925</v>
      </c>
      <c r="C719" s="8" t="s">
        <v>19</v>
      </c>
      <c r="D719" s="8" t="s">
        <v>10</v>
      </c>
      <c r="E719" s="8" t="s">
        <v>22</v>
      </c>
      <c r="F719" s="8" t="s">
        <v>27</v>
      </c>
      <c r="G719" s="8">
        <v>12</v>
      </c>
      <c r="H719" s="8">
        <v>800</v>
      </c>
      <c r="I719" s="11">
        <v>0.15</v>
      </c>
    </row>
    <row r="720" spans="1:9">
      <c r="A720" s="4">
        <v>1719</v>
      </c>
      <c r="B720" s="5">
        <v>45740</v>
      </c>
      <c r="C720" s="4" t="s">
        <v>16</v>
      </c>
      <c r="D720" s="4" t="s">
        <v>10</v>
      </c>
      <c r="E720" s="4" t="s">
        <v>17</v>
      </c>
      <c r="F720" s="4" t="s">
        <v>20</v>
      </c>
      <c r="G720" s="4">
        <v>18</v>
      </c>
      <c r="H720" s="6">
        <v>55000</v>
      </c>
      <c r="I720" s="7">
        <v>0.1</v>
      </c>
    </row>
    <row r="721" spans="1:9">
      <c r="A721" s="8">
        <v>1720</v>
      </c>
      <c r="B721" s="9">
        <v>45827</v>
      </c>
      <c r="C721" s="8" t="s">
        <v>19</v>
      </c>
      <c r="D721" s="8" t="s">
        <v>10</v>
      </c>
      <c r="E721" s="8" t="s">
        <v>14</v>
      </c>
      <c r="F721" s="8" t="s">
        <v>24</v>
      </c>
      <c r="G721" s="8">
        <v>1</v>
      </c>
      <c r="H721" s="8">
        <v>800</v>
      </c>
      <c r="I721" s="11">
        <v>0</v>
      </c>
    </row>
    <row r="722" spans="1:9">
      <c r="A722" s="4">
        <v>1721</v>
      </c>
      <c r="B722" s="5">
        <v>45951</v>
      </c>
      <c r="C722" s="4" t="s">
        <v>29</v>
      </c>
      <c r="D722" s="4" t="s">
        <v>30</v>
      </c>
      <c r="E722" s="4" t="s">
        <v>14</v>
      </c>
      <c r="F722" s="4" t="s">
        <v>24</v>
      </c>
      <c r="G722" s="4">
        <v>16</v>
      </c>
      <c r="H722" s="4">
        <v>250</v>
      </c>
      <c r="I722" s="7">
        <v>0.05</v>
      </c>
    </row>
    <row r="723" spans="1:9">
      <c r="A723" s="8">
        <v>1722</v>
      </c>
      <c r="B723" s="9">
        <v>45709</v>
      </c>
      <c r="C723" s="8" t="s">
        <v>37</v>
      </c>
      <c r="D723" s="8" t="s">
        <v>36</v>
      </c>
      <c r="E723" s="8" t="s">
        <v>17</v>
      </c>
      <c r="F723" s="8" t="s">
        <v>20</v>
      </c>
      <c r="G723" s="8">
        <v>9</v>
      </c>
      <c r="H723" s="10">
        <v>1800</v>
      </c>
      <c r="I723" s="11">
        <v>0.15</v>
      </c>
    </row>
    <row r="724" spans="1:9">
      <c r="A724" s="4">
        <v>1723</v>
      </c>
      <c r="B724" s="5">
        <v>45809</v>
      </c>
      <c r="C724" s="4" t="s">
        <v>21</v>
      </c>
      <c r="D724" s="4" t="s">
        <v>10</v>
      </c>
      <c r="E724" s="4" t="s">
        <v>14</v>
      </c>
      <c r="F724" s="4" t="s">
        <v>32</v>
      </c>
      <c r="G724" s="4">
        <v>15</v>
      </c>
      <c r="H724" s="6">
        <v>14000</v>
      </c>
      <c r="I724" s="7">
        <v>0</v>
      </c>
    </row>
    <row r="725" spans="1:9">
      <c r="A725" s="8">
        <v>1724</v>
      </c>
      <c r="B725" s="9">
        <v>45678</v>
      </c>
      <c r="C725" s="8" t="s">
        <v>38</v>
      </c>
      <c r="D725" s="8" t="s">
        <v>10</v>
      </c>
      <c r="E725" s="8" t="s">
        <v>11</v>
      </c>
      <c r="F725" s="8" t="s">
        <v>15</v>
      </c>
      <c r="G725" s="8">
        <v>10</v>
      </c>
      <c r="H725" s="10">
        <v>42000</v>
      </c>
      <c r="I725" s="11">
        <v>0.08</v>
      </c>
    </row>
    <row r="726" spans="1:9">
      <c r="A726" s="4">
        <v>1725</v>
      </c>
      <c r="B726" s="5">
        <v>45717</v>
      </c>
      <c r="C726" s="4" t="s">
        <v>9</v>
      </c>
      <c r="D726" s="4" t="s">
        <v>10</v>
      </c>
      <c r="E726" s="4" t="s">
        <v>17</v>
      </c>
      <c r="F726" s="4" t="s">
        <v>32</v>
      </c>
      <c r="G726" s="4">
        <v>2</v>
      </c>
      <c r="H726" s="6">
        <v>18000</v>
      </c>
      <c r="I726" s="7">
        <v>0</v>
      </c>
    </row>
    <row r="727" spans="1:9">
      <c r="A727" s="8">
        <v>1726</v>
      </c>
      <c r="B727" s="9">
        <v>45826</v>
      </c>
      <c r="C727" s="8" t="s">
        <v>33</v>
      </c>
      <c r="D727" s="8" t="s">
        <v>10</v>
      </c>
      <c r="E727" s="8" t="s">
        <v>11</v>
      </c>
      <c r="F727" s="8" t="s">
        <v>24</v>
      </c>
      <c r="G727" s="8">
        <v>15</v>
      </c>
      <c r="H727" s="10">
        <v>2500</v>
      </c>
      <c r="I727" s="11">
        <v>0.12</v>
      </c>
    </row>
    <row r="728" spans="1:9">
      <c r="A728" s="4">
        <v>1727</v>
      </c>
      <c r="B728" s="5">
        <v>45848</v>
      </c>
      <c r="C728" s="4" t="s">
        <v>38</v>
      </c>
      <c r="D728" s="4" t="s">
        <v>10</v>
      </c>
      <c r="E728" s="4" t="s">
        <v>14</v>
      </c>
      <c r="F728" s="4" t="s">
        <v>15</v>
      </c>
      <c r="G728" s="4">
        <v>11</v>
      </c>
      <c r="H728" s="6">
        <v>42000</v>
      </c>
      <c r="I728" s="7">
        <v>0.05</v>
      </c>
    </row>
    <row r="729" spans="1:9">
      <c r="A729" s="8">
        <v>1728</v>
      </c>
      <c r="B729" s="9">
        <v>45862</v>
      </c>
      <c r="C729" s="8" t="s">
        <v>34</v>
      </c>
      <c r="D729" s="8" t="s">
        <v>26</v>
      </c>
      <c r="E729" s="8" t="s">
        <v>22</v>
      </c>
      <c r="F729" s="8" t="s">
        <v>15</v>
      </c>
      <c r="G729" s="8">
        <v>9</v>
      </c>
      <c r="H729" s="10">
        <v>15000</v>
      </c>
      <c r="I729" s="11">
        <v>0.1</v>
      </c>
    </row>
    <row r="730" spans="1:9">
      <c r="A730" s="4">
        <v>1729</v>
      </c>
      <c r="B730" s="5">
        <v>45990</v>
      </c>
      <c r="C730" s="4" t="s">
        <v>37</v>
      </c>
      <c r="D730" s="4" t="s">
        <v>36</v>
      </c>
      <c r="E730" s="4" t="s">
        <v>17</v>
      </c>
      <c r="F730" s="4" t="s">
        <v>18</v>
      </c>
      <c r="G730" s="4">
        <v>6</v>
      </c>
      <c r="H730" s="6">
        <v>1800</v>
      </c>
      <c r="I730" s="7">
        <v>0</v>
      </c>
    </row>
    <row r="731" spans="1:9">
      <c r="A731" s="8">
        <v>1730</v>
      </c>
      <c r="B731" s="9">
        <v>45739</v>
      </c>
      <c r="C731" s="8" t="s">
        <v>9</v>
      </c>
      <c r="D731" s="8" t="s">
        <v>10</v>
      </c>
      <c r="E731" s="8" t="s">
        <v>22</v>
      </c>
      <c r="F731" s="8" t="s">
        <v>20</v>
      </c>
      <c r="G731" s="8">
        <v>14</v>
      </c>
      <c r="H731" s="10">
        <v>18000</v>
      </c>
      <c r="I731" s="11">
        <v>0.12</v>
      </c>
    </row>
    <row r="732" spans="1:9">
      <c r="A732" s="4">
        <v>1731</v>
      </c>
      <c r="B732" s="5">
        <v>45750</v>
      </c>
      <c r="C732" s="4" t="s">
        <v>28</v>
      </c>
      <c r="D732" s="4" t="s">
        <v>26</v>
      </c>
      <c r="E732" s="4" t="s">
        <v>14</v>
      </c>
      <c r="F732" s="4" t="s">
        <v>32</v>
      </c>
      <c r="G732" s="4">
        <v>13</v>
      </c>
      <c r="H732" s="6">
        <v>9000</v>
      </c>
      <c r="I732" s="7">
        <v>0.08</v>
      </c>
    </row>
    <row r="733" spans="1:9">
      <c r="A733" s="8">
        <v>1732</v>
      </c>
      <c r="B733" s="9">
        <v>45905</v>
      </c>
      <c r="C733" s="8" t="s">
        <v>37</v>
      </c>
      <c r="D733" s="8" t="s">
        <v>36</v>
      </c>
      <c r="E733" s="8" t="s">
        <v>22</v>
      </c>
      <c r="F733" s="8" t="s">
        <v>20</v>
      </c>
      <c r="G733" s="8">
        <v>16</v>
      </c>
      <c r="H733" s="10">
        <v>1800</v>
      </c>
      <c r="I733" s="11">
        <v>0</v>
      </c>
    </row>
    <row r="734" spans="1:9">
      <c r="A734" s="4">
        <v>1733</v>
      </c>
      <c r="B734" s="5">
        <v>45681</v>
      </c>
      <c r="C734" s="4" t="s">
        <v>9</v>
      </c>
      <c r="D734" s="4" t="s">
        <v>10</v>
      </c>
      <c r="E734" s="4" t="s">
        <v>11</v>
      </c>
      <c r="F734" s="4" t="s">
        <v>18</v>
      </c>
      <c r="G734" s="4">
        <v>9</v>
      </c>
      <c r="H734" s="6">
        <v>18000</v>
      </c>
      <c r="I734" s="7">
        <v>0.15</v>
      </c>
    </row>
    <row r="735" spans="1:9">
      <c r="A735" s="8">
        <v>1734</v>
      </c>
      <c r="B735" s="9">
        <v>46018</v>
      </c>
      <c r="C735" s="8" t="s">
        <v>38</v>
      </c>
      <c r="D735" s="8" t="s">
        <v>10</v>
      </c>
      <c r="E735" s="8" t="s">
        <v>17</v>
      </c>
      <c r="F735" s="8" t="s">
        <v>23</v>
      </c>
      <c r="G735" s="8">
        <v>17</v>
      </c>
      <c r="H735" s="10">
        <v>42000</v>
      </c>
      <c r="I735" s="11">
        <v>0.15</v>
      </c>
    </row>
    <row r="736" spans="1:9">
      <c r="A736" s="4">
        <v>1735</v>
      </c>
      <c r="B736" s="5">
        <v>45923</v>
      </c>
      <c r="C736" s="4" t="s">
        <v>25</v>
      </c>
      <c r="D736" s="4" t="s">
        <v>26</v>
      </c>
      <c r="E736" s="4" t="s">
        <v>22</v>
      </c>
      <c r="F736" s="4" t="s">
        <v>12</v>
      </c>
      <c r="G736" s="4">
        <v>20</v>
      </c>
      <c r="H736" s="6">
        <v>11000</v>
      </c>
      <c r="I736" s="7">
        <v>0</v>
      </c>
    </row>
    <row r="737" spans="1:9">
      <c r="A737" s="8">
        <v>1736</v>
      </c>
      <c r="B737" s="9">
        <v>45904</v>
      </c>
      <c r="C737" s="8" t="s">
        <v>33</v>
      </c>
      <c r="D737" s="8" t="s">
        <v>10</v>
      </c>
      <c r="E737" s="8" t="s">
        <v>14</v>
      </c>
      <c r="F737" s="8" t="s">
        <v>18</v>
      </c>
      <c r="G737" s="8">
        <v>13</v>
      </c>
      <c r="H737" s="10">
        <v>2500</v>
      </c>
      <c r="I737" s="11">
        <v>0.05</v>
      </c>
    </row>
    <row r="738" spans="1:9">
      <c r="A738" s="4">
        <v>1737</v>
      </c>
      <c r="B738" s="5">
        <v>45987</v>
      </c>
      <c r="C738" s="4" t="s">
        <v>37</v>
      </c>
      <c r="D738" s="4" t="s">
        <v>36</v>
      </c>
      <c r="E738" s="4" t="s">
        <v>22</v>
      </c>
      <c r="F738" s="4" t="s">
        <v>20</v>
      </c>
      <c r="G738" s="4">
        <v>6</v>
      </c>
      <c r="H738" s="6">
        <v>1800</v>
      </c>
      <c r="I738" s="7">
        <v>0.12</v>
      </c>
    </row>
    <row r="739" spans="1:9">
      <c r="A739" s="8">
        <v>1738</v>
      </c>
      <c r="B739" s="9">
        <v>45742</v>
      </c>
      <c r="C739" s="8" t="s">
        <v>9</v>
      </c>
      <c r="D739" s="8" t="s">
        <v>10</v>
      </c>
      <c r="E739" s="8" t="s">
        <v>17</v>
      </c>
      <c r="F739" s="8" t="s">
        <v>23</v>
      </c>
      <c r="G739" s="8">
        <v>16</v>
      </c>
      <c r="H739" s="10">
        <v>18000</v>
      </c>
      <c r="I739" s="11">
        <v>0.08</v>
      </c>
    </row>
    <row r="740" spans="1:9">
      <c r="A740" s="4">
        <v>1739</v>
      </c>
      <c r="B740" s="5">
        <v>45800</v>
      </c>
      <c r="C740" s="4" t="s">
        <v>16</v>
      </c>
      <c r="D740" s="4" t="s">
        <v>10</v>
      </c>
      <c r="E740" s="4" t="s">
        <v>22</v>
      </c>
      <c r="F740" s="4" t="s">
        <v>15</v>
      </c>
      <c r="G740" s="4">
        <v>17</v>
      </c>
      <c r="H740" s="6">
        <v>55000</v>
      </c>
      <c r="I740" s="7">
        <v>0.05</v>
      </c>
    </row>
    <row r="741" spans="1:9">
      <c r="A741" s="8">
        <v>1740</v>
      </c>
      <c r="B741" s="9">
        <v>45778</v>
      </c>
      <c r="C741" s="8" t="s">
        <v>9</v>
      </c>
      <c r="D741" s="8" t="s">
        <v>10</v>
      </c>
      <c r="E741" s="8" t="s">
        <v>22</v>
      </c>
      <c r="F741" s="8" t="s">
        <v>24</v>
      </c>
      <c r="G741" s="8">
        <v>15</v>
      </c>
      <c r="H741" s="10">
        <v>18000</v>
      </c>
      <c r="I741" s="11">
        <v>0.1</v>
      </c>
    </row>
    <row r="742" spans="1:9">
      <c r="A742" s="4">
        <v>1741</v>
      </c>
      <c r="B742" s="5">
        <v>45913</v>
      </c>
      <c r="C742" s="4" t="s">
        <v>34</v>
      </c>
      <c r="D742" s="4" t="s">
        <v>26</v>
      </c>
      <c r="E742" s="4" t="s">
        <v>22</v>
      </c>
      <c r="F742" s="4" t="s">
        <v>18</v>
      </c>
      <c r="G742" s="4">
        <v>11</v>
      </c>
      <c r="H742" s="6">
        <v>15000</v>
      </c>
      <c r="I742" s="7">
        <v>0</v>
      </c>
    </row>
    <row r="743" spans="1:9">
      <c r="A743" s="8">
        <v>1742</v>
      </c>
      <c r="B743" s="9">
        <v>45710</v>
      </c>
      <c r="C743" s="8" t="s">
        <v>31</v>
      </c>
      <c r="D743" s="8" t="s">
        <v>26</v>
      </c>
      <c r="E743" s="8" t="s">
        <v>14</v>
      </c>
      <c r="F743" s="8" t="s">
        <v>24</v>
      </c>
      <c r="G743" s="8">
        <v>14</v>
      </c>
      <c r="H743" s="10">
        <v>8500</v>
      </c>
      <c r="I743" s="11">
        <v>0</v>
      </c>
    </row>
    <row r="744" spans="1:9">
      <c r="A744" s="4">
        <v>1743</v>
      </c>
      <c r="B744" s="5">
        <v>45967</v>
      </c>
      <c r="C744" s="4" t="s">
        <v>28</v>
      </c>
      <c r="D744" s="4" t="s">
        <v>26</v>
      </c>
      <c r="E744" s="4" t="s">
        <v>17</v>
      </c>
      <c r="F744" s="4" t="s">
        <v>20</v>
      </c>
      <c r="G744" s="4">
        <v>10</v>
      </c>
      <c r="H744" s="6">
        <v>9000</v>
      </c>
      <c r="I744" s="7">
        <v>0.12</v>
      </c>
    </row>
    <row r="745" spans="1:9">
      <c r="A745" s="8">
        <v>1744</v>
      </c>
      <c r="B745" s="9">
        <v>45832</v>
      </c>
      <c r="C745" s="8" t="s">
        <v>33</v>
      </c>
      <c r="D745" s="8" t="s">
        <v>10</v>
      </c>
      <c r="E745" s="8" t="s">
        <v>22</v>
      </c>
      <c r="F745" s="8" t="s">
        <v>23</v>
      </c>
      <c r="G745" s="8">
        <v>2</v>
      </c>
      <c r="H745" s="10">
        <v>2500</v>
      </c>
      <c r="I745" s="11">
        <v>0.05</v>
      </c>
    </row>
    <row r="746" spans="1:9">
      <c r="A746" s="4">
        <v>1745</v>
      </c>
      <c r="B746" s="5">
        <v>45944</v>
      </c>
      <c r="C746" s="4" t="s">
        <v>35</v>
      </c>
      <c r="D746" s="4" t="s">
        <v>36</v>
      </c>
      <c r="E746" s="4" t="s">
        <v>22</v>
      </c>
      <c r="F746" s="4" t="s">
        <v>23</v>
      </c>
      <c r="G746" s="4">
        <v>20</v>
      </c>
      <c r="H746" s="6">
        <v>3500</v>
      </c>
      <c r="I746" s="7">
        <v>0.12</v>
      </c>
    </row>
    <row r="747" spans="1:9">
      <c r="A747" s="8">
        <v>1746</v>
      </c>
      <c r="B747" s="9">
        <v>45889</v>
      </c>
      <c r="C747" s="8" t="s">
        <v>9</v>
      </c>
      <c r="D747" s="8" t="s">
        <v>10</v>
      </c>
      <c r="E747" s="8" t="s">
        <v>17</v>
      </c>
      <c r="F747" s="8" t="s">
        <v>18</v>
      </c>
      <c r="G747" s="8">
        <v>4</v>
      </c>
      <c r="H747" s="10">
        <v>18000</v>
      </c>
      <c r="I747" s="11">
        <v>0.15</v>
      </c>
    </row>
    <row r="748" spans="1:9">
      <c r="A748" s="4">
        <v>1747</v>
      </c>
      <c r="B748" s="5">
        <v>45832</v>
      </c>
      <c r="C748" s="4" t="s">
        <v>33</v>
      </c>
      <c r="D748" s="4" t="s">
        <v>10</v>
      </c>
      <c r="E748" s="4" t="s">
        <v>11</v>
      </c>
      <c r="F748" s="4" t="s">
        <v>24</v>
      </c>
      <c r="G748" s="4">
        <v>10</v>
      </c>
      <c r="H748" s="6">
        <v>2500</v>
      </c>
      <c r="I748" s="7">
        <v>0.12</v>
      </c>
    </row>
    <row r="749" spans="1:9">
      <c r="A749" s="8">
        <v>1748</v>
      </c>
      <c r="B749" s="9">
        <v>45681</v>
      </c>
      <c r="C749" s="8" t="s">
        <v>37</v>
      </c>
      <c r="D749" s="8" t="s">
        <v>36</v>
      </c>
      <c r="E749" s="8" t="s">
        <v>17</v>
      </c>
      <c r="F749" s="8" t="s">
        <v>15</v>
      </c>
      <c r="G749" s="8">
        <v>6</v>
      </c>
      <c r="H749" s="10">
        <v>1800</v>
      </c>
      <c r="I749" s="11">
        <v>0.1</v>
      </c>
    </row>
    <row r="750" spans="1:9">
      <c r="A750" s="4">
        <v>1749</v>
      </c>
      <c r="B750" s="5">
        <v>45712</v>
      </c>
      <c r="C750" s="4" t="s">
        <v>21</v>
      </c>
      <c r="D750" s="4" t="s">
        <v>10</v>
      </c>
      <c r="E750" s="4" t="s">
        <v>17</v>
      </c>
      <c r="F750" s="4" t="s">
        <v>24</v>
      </c>
      <c r="G750" s="4">
        <v>20</v>
      </c>
      <c r="H750" s="6">
        <v>14000</v>
      </c>
      <c r="I750" s="7">
        <v>0.05</v>
      </c>
    </row>
    <row r="751" spans="1:9" ht="25.5">
      <c r="A751" s="8">
        <v>1750</v>
      </c>
      <c r="B751" s="9">
        <v>45859</v>
      </c>
      <c r="C751" s="8" t="s">
        <v>19</v>
      </c>
      <c r="D751" s="8" t="s">
        <v>10</v>
      </c>
      <c r="E751" s="3" t="s">
        <v>42</v>
      </c>
      <c r="F751" s="8" t="s">
        <v>24</v>
      </c>
      <c r="G751" s="8">
        <v>15</v>
      </c>
      <c r="H751" s="8">
        <v>800</v>
      </c>
      <c r="I751" s="11">
        <v>0.05</v>
      </c>
    </row>
    <row r="752" spans="1:9">
      <c r="A752" s="4">
        <v>1751</v>
      </c>
      <c r="B752" s="5">
        <v>45870</v>
      </c>
      <c r="C752" s="4" t="s">
        <v>16</v>
      </c>
      <c r="D752" s="4" t="s">
        <v>10</v>
      </c>
      <c r="E752" s="4" t="s">
        <v>22</v>
      </c>
      <c r="F752" s="4" t="s">
        <v>20</v>
      </c>
      <c r="G752" s="4">
        <v>19</v>
      </c>
      <c r="H752" s="6">
        <v>55000</v>
      </c>
      <c r="I752" s="7">
        <v>0</v>
      </c>
    </row>
    <row r="753" spans="1:9">
      <c r="A753" s="8">
        <v>1752</v>
      </c>
      <c r="B753" s="9">
        <v>45995</v>
      </c>
      <c r="C753" s="8" t="s">
        <v>28</v>
      </c>
      <c r="D753" s="8" t="s">
        <v>26</v>
      </c>
      <c r="E753" s="8" t="s">
        <v>22</v>
      </c>
      <c r="F753" s="8" t="s">
        <v>18</v>
      </c>
      <c r="G753" s="8">
        <v>17</v>
      </c>
      <c r="H753" s="10">
        <v>9000</v>
      </c>
      <c r="I753" s="11">
        <v>0.05</v>
      </c>
    </row>
    <row r="754" spans="1:9">
      <c r="A754" s="4">
        <v>1753</v>
      </c>
      <c r="B754" s="5">
        <v>45929</v>
      </c>
      <c r="C754" s="4" t="s">
        <v>39</v>
      </c>
      <c r="D754" s="4" t="s">
        <v>30</v>
      </c>
      <c r="E754" s="4" t="s">
        <v>22</v>
      </c>
      <c r="F754" s="4" t="s">
        <v>20</v>
      </c>
      <c r="G754" s="4">
        <v>2</v>
      </c>
      <c r="H754" s="4">
        <v>180</v>
      </c>
      <c r="I754" s="7">
        <v>0.12</v>
      </c>
    </row>
    <row r="755" spans="1:9">
      <c r="A755" s="8">
        <v>1754</v>
      </c>
      <c r="B755" s="9">
        <v>45918</v>
      </c>
      <c r="C755" s="8" t="s">
        <v>35</v>
      </c>
      <c r="D755" s="8" t="s">
        <v>36</v>
      </c>
      <c r="E755" s="8" t="s">
        <v>17</v>
      </c>
      <c r="F755" s="8" t="s">
        <v>32</v>
      </c>
      <c r="G755" s="8">
        <v>6</v>
      </c>
      <c r="H755" s="10">
        <v>3500</v>
      </c>
      <c r="I755" s="11">
        <v>0.15</v>
      </c>
    </row>
    <row r="756" spans="1:9">
      <c r="A756" s="4">
        <v>1755</v>
      </c>
      <c r="B756" s="5">
        <v>45711</v>
      </c>
      <c r="C756" s="4" t="s">
        <v>31</v>
      </c>
      <c r="D756" s="4" t="s">
        <v>26</v>
      </c>
      <c r="E756" s="4" t="s">
        <v>11</v>
      </c>
      <c r="F756" s="4" t="s">
        <v>15</v>
      </c>
      <c r="G756" s="4">
        <v>20</v>
      </c>
      <c r="H756" s="6">
        <v>8500</v>
      </c>
      <c r="I756" s="7">
        <v>0.12</v>
      </c>
    </row>
    <row r="757" spans="1:9">
      <c r="A757" s="8">
        <v>1756</v>
      </c>
      <c r="B757" s="9">
        <v>45872</v>
      </c>
      <c r="C757" s="8" t="s">
        <v>28</v>
      </c>
      <c r="D757" s="8" t="s">
        <v>26</v>
      </c>
      <c r="E757" s="8" t="s">
        <v>22</v>
      </c>
      <c r="F757" s="8" t="s">
        <v>23</v>
      </c>
      <c r="G757" s="8">
        <v>8</v>
      </c>
      <c r="H757" s="10">
        <v>9000</v>
      </c>
      <c r="I757" s="11">
        <v>0.08</v>
      </c>
    </row>
    <row r="758" spans="1:9">
      <c r="A758" s="4">
        <v>1757</v>
      </c>
      <c r="B758" s="5">
        <v>45808</v>
      </c>
      <c r="C758" s="4" t="s">
        <v>34</v>
      </c>
      <c r="D758" s="4" t="s">
        <v>26</v>
      </c>
      <c r="E758" s="4" t="s">
        <v>22</v>
      </c>
      <c r="F758" s="4" t="s">
        <v>27</v>
      </c>
      <c r="G758" s="4">
        <v>5</v>
      </c>
      <c r="H758" s="6">
        <v>15000</v>
      </c>
      <c r="I758" s="7">
        <v>0.05</v>
      </c>
    </row>
    <row r="759" spans="1:9">
      <c r="A759" s="8">
        <v>1758</v>
      </c>
      <c r="B759" s="9">
        <v>46017</v>
      </c>
      <c r="C759" s="8" t="s">
        <v>25</v>
      </c>
      <c r="D759" s="8" t="s">
        <v>26</v>
      </c>
      <c r="E759" s="8" t="s">
        <v>17</v>
      </c>
      <c r="F759" s="8" t="s">
        <v>12</v>
      </c>
      <c r="G759" s="8">
        <v>11</v>
      </c>
      <c r="H759" s="10">
        <v>11000</v>
      </c>
      <c r="I759" s="11">
        <v>0.15</v>
      </c>
    </row>
    <row r="760" spans="1:9">
      <c r="A760" s="4">
        <v>1759</v>
      </c>
      <c r="B760" s="5">
        <v>45765</v>
      </c>
      <c r="C760" s="4" t="s">
        <v>28</v>
      </c>
      <c r="D760" s="4" t="s">
        <v>26</v>
      </c>
      <c r="E760" s="4" t="s">
        <v>11</v>
      </c>
      <c r="F760" s="4" t="s">
        <v>32</v>
      </c>
      <c r="G760" s="4">
        <v>10</v>
      </c>
      <c r="H760" s="6">
        <v>9000</v>
      </c>
      <c r="I760" s="7">
        <v>0.15</v>
      </c>
    </row>
    <row r="761" spans="1:9">
      <c r="A761" s="8">
        <v>1760</v>
      </c>
      <c r="B761" s="9">
        <v>46021</v>
      </c>
      <c r="C761" s="8" t="s">
        <v>29</v>
      </c>
      <c r="D761" s="8" t="s">
        <v>30</v>
      </c>
      <c r="E761" s="8" t="s">
        <v>11</v>
      </c>
      <c r="F761" s="8" t="s">
        <v>24</v>
      </c>
      <c r="G761" s="8">
        <v>6</v>
      </c>
      <c r="H761" s="8">
        <v>250</v>
      </c>
      <c r="I761" s="11">
        <v>0.12</v>
      </c>
    </row>
    <row r="762" spans="1:9">
      <c r="A762" s="4">
        <v>1761</v>
      </c>
      <c r="B762" s="5">
        <v>45838</v>
      </c>
      <c r="C762" s="4" t="s">
        <v>25</v>
      </c>
      <c r="D762" s="4" t="s">
        <v>26</v>
      </c>
      <c r="E762" s="4" t="s">
        <v>22</v>
      </c>
      <c r="F762" s="4" t="s">
        <v>27</v>
      </c>
      <c r="G762" s="4">
        <v>16</v>
      </c>
      <c r="H762" s="6">
        <v>11000</v>
      </c>
      <c r="I762" s="7">
        <v>0.12</v>
      </c>
    </row>
    <row r="763" spans="1:9">
      <c r="A763" s="8">
        <v>1762</v>
      </c>
      <c r="B763" s="9">
        <v>45874</v>
      </c>
      <c r="C763" s="8" t="s">
        <v>35</v>
      </c>
      <c r="D763" s="8" t="s">
        <v>36</v>
      </c>
      <c r="E763" s="8" t="s">
        <v>14</v>
      </c>
      <c r="F763" s="8" t="s">
        <v>18</v>
      </c>
      <c r="G763" s="8">
        <v>1</v>
      </c>
      <c r="H763" s="10">
        <v>3500</v>
      </c>
      <c r="I763" s="11">
        <v>0.12</v>
      </c>
    </row>
    <row r="764" spans="1:9">
      <c r="A764" s="4">
        <v>1763</v>
      </c>
      <c r="B764" s="5">
        <v>45853</v>
      </c>
      <c r="C764" s="4" t="s">
        <v>13</v>
      </c>
      <c r="D764" s="4" t="s">
        <v>10</v>
      </c>
      <c r="E764" s="4" t="s">
        <v>14</v>
      </c>
      <c r="F764" s="4" t="s">
        <v>12</v>
      </c>
      <c r="G764" s="4">
        <v>2</v>
      </c>
      <c r="H764" s="6">
        <v>1200</v>
      </c>
      <c r="I764" s="7">
        <v>0.15</v>
      </c>
    </row>
    <row r="765" spans="1:9">
      <c r="A765" s="8">
        <v>1764</v>
      </c>
      <c r="B765" s="9">
        <v>45794</v>
      </c>
      <c r="C765" s="8" t="s">
        <v>35</v>
      </c>
      <c r="D765" s="8" t="s">
        <v>36</v>
      </c>
      <c r="E765" s="8" t="s">
        <v>11</v>
      </c>
      <c r="F765" s="8" t="s">
        <v>32</v>
      </c>
      <c r="G765" s="8">
        <v>6</v>
      </c>
      <c r="H765" s="10">
        <v>3500</v>
      </c>
      <c r="I765" s="11">
        <v>0.08</v>
      </c>
    </row>
    <row r="766" spans="1:9">
      <c r="A766" s="4">
        <v>1765</v>
      </c>
      <c r="B766" s="5">
        <v>45689</v>
      </c>
      <c r="C766" s="4" t="s">
        <v>39</v>
      </c>
      <c r="D766" s="4" t="s">
        <v>30</v>
      </c>
      <c r="E766" s="4" t="s">
        <v>14</v>
      </c>
      <c r="F766" s="4" t="s">
        <v>23</v>
      </c>
      <c r="G766" s="4">
        <v>10</v>
      </c>
      <c r="H766" s="4">
        <v>180</v>
      </c>
      <c r="I766" s="7">
        <v>0.05</v>
      </c>
    </row>
    <row r="767" spans="1:9">
      <c r="A767" s="8">
        <v>1766</v>
      </c>
      <c r="B767" s="9">
        <v>45889</v>
      </c>
      <c r="C767" s="8" t="s">
        <v>9</v>
      </c>
      <c r="D767" s="8" t="s">
        <v>10</v>
      </c>
      <c r="E767" s="8" t="s">
        <v>17</v>
      </c>
      <c r="F767" s="8" t="s">
        <v>15</v>
      </c>
      <c r="G767" s="8">
        <v>20</v>
      </c>
      <c r="H767" s="10">
        <v>18000</v>
      </c>
      <c r="I767" s="11">
        <v>0.15</v>
      </c>
    </row>
    <row r="768" spans="1:9">
      <c r="A768" s="4">
        <v>1767</v>
      </c>
      <c r="B768" s="5">
        <v>45779</v>
      </c>
      <c r="C768" s="4" t="s">
        <v>25</v>
      </c>
      <c r="D768" s="4" t="s">
        <v>26</v>
      </c>
      <c r="E768" s="4" t="s">
        <v>14</v>
      </c>
      <c r="F768" s="4" t="s">
        <v>15</v>
      </c>
      <c r="G768" s="4">
        <v>10</v>
      </c>
      <c r="H768" s="6">
        <v>11000</v>
      </c>
      <c r="I768" s="7">
        <v>0.15</v>
      </c>
    </row>
    <row r="769" spans="1:9">
      <c r="A769" s="8">
        <v>1768</v>
      </c>
      <c r="B769" s="9">
        <v>45856</v>
      </c>
      <c r="C769" s="8" t="s">
        <v>31</v>
      </c>
      <c r="D769" s="8" t="s">
        <v>26</v>
      </c>
      <c r="E769" s="8" t="s">
        <v>14</v>
      </c>
      <c r="F769" s="8" t="s">
        <v>18</v>
      </c>
      <c r="G769" s="8">
        <v>11</v>
      </c>
      <c r="H769" s="10">
        <v>8500</v>
      </c>
      <c r="I769" s="11">
        <v>0.12</v>
      </c>
    </row>
    <row r="770" spans="1:9">
      <c r="A770" s="4">
        <v>1769</v>
      </c>
      <c r="B770" s="5">
        <v>45786</v>
      </c>
      <c r="C770" s="4" t="s">
        <v>19</v>
      </c>
      <c r="D770" s="4" t="s">
        <v>10</v>
      </c>
      <c r="E770" s="4" t="s">
        <v>17</v>
      </c>
      <c r="F770" s="4" t="s">
        <v>23</v>
      </c>
      <c r="G770" s="4">
        <v>20</v>
      </c>
      <c r="H770" s="4">
        <v>800</v>
      </c>
      <c r="I770" s="7">
        <v>0.1</v>
      </c>
    </row>
    <row r="771" spans="1:9">
      <c r="A771" s="8">
        <v>1770</v>
      </c>
      <c r="B771" s="9">
        <v>45959</v>
      </c>
      <c r="C771" s="8" t="s">
        <v>25</v>
      </c>
      <c r="D771" s="8" t="s">
        <v>26</v>
      </c>
      <c r="E771" s="8" t="s">
        <v>17</v>
      </c>
      <c r="F771" s="8" t="s">
        <v>27</v>
      </c>
      <c r="G771" s="8">
        <v>20</v>
      </c>
      <c r="H771" s="10">
        <v>11000</v>
      </c>
      <c r="I771" s="11">
        <v>0.05</v>
      </c>
    </row>
    <row r="772" spans="1:9">
      <c r="A772" s="4">
        <v>1771</v>
      </c>
      <c r="B772" s="5">
        <v>45887</v>
      </c>
      <c r="C772" s="4" t="s">
        <v>13</v>
      </c>
      <c r="D772" s="4" t="s">
        <v>10</v>
      </c>
      <c r="E772" s="4" t="s">
        <v>17</v>
      </c>
      <c r="F772" s="4" t="s">
        <v>24</v>
      </c>
      <c r="G772" s="4">
        <v>3</v>
      </c>
      <c r="H772" s="6">
        <v>1200</v>
      </c>
      <c r="I772" s="7">
        <v>0.05</v>
      </c>
    </row>
    <row r="773" spans="1:9">
      <c r="A773" s="8">
        <v>1772</v>
      </c>
      <c r="B773" s="9">
        <v>45851</v>
      </c>
      <c r="C773" s="8" t="s">
        <v>16</v>
      </c>
      <c r="D773" s="8" t="s">
        <v>10</v>
      </c>
      <c r="E773" s="8" t="s">
        <v>11</v>
      </c>
      <c r="F773" s="8" t="s">
        <v>32</v>
      </c>
      <c r="G773" s="8">
        <v>14</v>
      </c>
      <c r="H773" s="10">
        <v>55000</v>
      </c>
      <c r="I773" s="11">
        <v>0.08</v>
      </c>
    </row>
    <row r="774" spans="1:9">
      <c r="A774" s="4">
        <v>1773</v>
      </c>
      <c r="B774" s="5">
        <v>45740</v>
      </c>
      <c r="C774" s="4" t="s">
        <v>28</v>
      </c>
      <c r="D774" s="4" t="s">
        <v>26</v>
      </c>
      <c r="E774" s="4" t="s">
        <v>11</v>
      </c>
      <c r="F774" s="4" t="s">
        <v>20</v>
      </c>
      <c r="G774" s="4">
        <v>9</v>
      </c>
      <c r="H774" s="6">
        <v>9000</v>
      </c>
      <c r="I774" s="7">
        <v>0</v>
      </c>
    </row>
    <row r="775" spans="1:9">
      <c r="A775" s="8">
        <v>1774</v>
      </c>
      <c r="B775" s="9">
        <v>46021</v>
      </c>
      <c r="C775" s="8" t="s">
        <v>37</v>
      </c>
      <c r="D775" s="8" t="s">
        <v>36</v>
      </c>
      <c r="E775" s="8" t="s">
        <v>17</v>
      </c>
      <c r="F775" s="8" t="s">
        <v>23</v>
      </c>
      <c r="G775" s="8">
        <v>5</v>
      </c>
      <c r="H775" s="10">
        <v>1800</v>
      </c>
      <c r="I775" s="11">
        <v>0</v>
      </c>
    </row>
    <row r="776" spans="1:9">
      <c r="A776" s="4">
        <v>1775</v>
      </c>
      <c r="B776" s="5">
        <v>45963</v>
      </c>
      <c r="C776" s="4" t="s">
        <v>16</v>
      </c>
      <c r="D776" s="4" t="s">
        <v>10</v>
      </c>
      <c r="E776" s="4" t="s">
        <v>11</v>
      </c>
      <c r="F776" s="4" t="s">
        <v>20</v>
      </c>
      <c r="G776" s="4">
        <v>20</v>
      </c>
      <c r="H776" s="6">
        <v>55000</v>
      </c>
      <c r="I776" s="7">
        <v>0.15</v>
      </c>
    </row>
    <row r="777" spans="1:9">
      <c r="A777" s="8">
        <v>1776</v>
      </c>
      <c r="B777" s="9">
        <v>45951</v>
      </c>
      <c r="C777" s="8" t="s">
        <v>25</v>
      </c>
      <c r="D777" s="8" t="s">
        <v>26</v>
      </c>
      <c r="E777" s="8" t="s">
        <v>11</v>
      </c>
      <c r="F777" s="8" t="s">
        <v>12</v>
      </c>
      <c r="G777" s="8">
        <v>12</v>
      </c>
      <c r="H777" s="10">
        <v>11000</v>
      </c>
      <c r="I777" s="11">
        <v>0</v>
      </c>
    </row>
    <row r="778" spans="1:9">
      <c r="A778" s="4">
        <v>1777</v>
      </c>
      <c r="B778" s="5">
        <v>45752</v>
      </c>
      <c r="C778" s="4" t="s">
        <v>25</v>
      </c>
      <c r="D778" s="4" t="s">
        <v>26</v>
      </c>
      <c r="E778" s="4" t="s">
        <v>17</v>
      </c>
      <c r="F778" s="4" t="s">
        <v>15</v>
      </c>
      <c r="G778" s="4">
        <v>3</v>
      </c>
      <c r="H778" s="6">
        <v>11000</v>
      </c>
      <c r="I778" s="7">
        <v>0.12</v>
      </c>
    </row>
    <row r="779" spans="1:9">
      <c r="A779" s="8">
        <v>1778</v>
      </c>
      <c r="B779" s="9">
        <v>45936</v>
      </c>
      <c r="C779" s="8" t="s">
        <v>25</v>
      </c>
      <c r="D779" s="8" t="s">
        <v>26</v>
      </c>
      <c r="E779" s="8" t="s">
        <v>11</v>
      </c>
      <c r="F779" s="8" t="s">
        <v>12</v>
      </c>
      <c r="G779" s="8">
        <v>13</v>
      </c>
      <c r="H779" s="10">
        <v>11000</v>
      </c>
      <c r="I779" s="11">
        <v>0</v>
      </c>
    </row>
    <row r="780" spans="1:9">
      <c r="A780" s="4">
        <v>1779</v>
      </c>
      <c r="B780" s="5">
        <v>45767</v>
      </c>
      <c r="C780" s="4" t="s">
        <v>29</v>
      </c>
      <c r="D780" s="4" t="s">
        <v>30</v>
      </c>
      <c r="E780" s="4" t="s">
        <v>11</v>
      </c>
      <c r="F780" s="4" t="s">
        <v>27</v>
      </c>
      <c r="G780" s="4">
        <v>11</v>
      </c>
      <c r="H780" s="4">
        <v>250</v>
      </c>
      <c r="I780" s="7">
        <v>0.08</v>
      </c>
    </row>
    <row r="781" spans="1:9">
      <c r="A781" s="8">
        <v>1780</v>
      </c>
      <c r="B781" s="9">
        <v>45769</v>
      </c>
      <c r="C781" s="8" t="s">
        <v>35</v>
      </c>
      <c r="D781" s="8" t="s">
        <v>36</v>
      </c>
      <c r="E781" s="8" t="s">
        <v>22</v>
      </c>
      <c r="F781" s="8" t="s">
        <v>18</v>
      </c>
      <c r="G781" s="8">
        <v>20</v>
      </c>
      <c r="H781" s="10">
        <v>3500</v>
      </c>
      <c r="I781" s="11">
        <v>0.12</v>
      </c>
    </row>
    <row r="782" spans="1:9">
      <c r="A782" s="4">
        <v>1781</v>
      </c>
      <c r="B782" s="5">
        <v>45716</v>
      </c>
      <c r="C782" s="4" t="s">
        <v>29</v>
      </c>
      <c r="D782" s="4" t="s">
        <v>30</v>
      </c>
      <c r="E782" s="4" t="s">
        <v>17</v>
      </c>
      <c r="F782" s="4" t="s">
        <v>12</v>
      </c>
      <c r="G782" s="4">
        <v>12</v>
      </c>
      <c r="H782" s="4">
        <v>250</v>
      </c>
      <c r="I782" s="7">
        <v>0.1</v>
      </c>
    </row>
    <row r="783" spans="1:9">
      <c r="A783" s="8">
        <v>1782</v>
      </c>
      <c r="B783" s="9">
        <v>45678</v>
      </c>
      <c r="C783" s="8" t="s">
        <v>29</v>
      </c>
      <c r="D783" s="8" t="s">
        <v>30</v>
      </c>
      <c r="E783" s="8" t="s">
        <v>14</v>
      </c>
      <c r="F783" s="8" t="s">
        <v>15</v>
      </c>
      <c r="G783" s="8">
        <v>11</v>
      </c>
      <c r="H783" s="8">
        <v>250</v>
      </c>
      <c r="I783" s="11">
        <v>0.1</v>
      </c>
    </row>
    <row r="784" spans="1:9">
      <c r="A784" s="4">
        <v>1783</v>
      </c>
      <c r="B784" s="5">
        <v>45789</v>
      </c>
      <c r="C784" s="4" t="s">
        <v>25</v>
      </c>
      <c r="D784" s="4" t="s">
        <v>26</v>
      </c>
      <c r="E784" s="4" t="s">
        <v>11</v>
      </c>
      <c r="F784" s="4" t="s">
        <v>20</v>
      </c>
      <c r="G784" s="4">
        <v>10</v>
      </c>
      <c r="H784" s="6">
        <v>11000</v>
      </c>
      <c r="I784" s="7">
        <v>0</v>
      </c>
    </row>
    <row r="785" spans="1:9">
      <c r="A785" s="8">
        <v>1784</v>
      </c>
      <c r="B785" s="9">
        <v>45907</v>
      </c>
      <c r="C785" s="8" t="s">
        <v>16</v>
      </c>
      <c r="D785" s="8" t="s">
        <v>10</v>
      </c>
      <c r="E785" s="8" t="s">
        <v>17</v>
      </c>
      <c r="F785" s="8" t="s">
        <v>23</v>
      </c>
      <c r="G785" s="8">
        <v>10</v>
      </c>
      <c r="H785" s="10">
        <v>55000</v>
      </c>
      <c r="I785" s="11">
        <v>0.15</v>
      </c>
    </row>
    <row r="786" spans="1:9">
      <c r="A786" s="4">
        <v>1785</v>
      </c>
      <c r="B786" s="5">
        <v>45921</v>
      </c>
      <c r="C786" s="4" t="s">
        <v>9</v>
      </c>
      <c r="D786" s="4" t="s">
        <v>10</v>
      </c>
      <c r="E786" s="4" t="s">
        <v>14</v>
      </c>
      <c r="F786" s="4" t="s">
        <v>24</v>
      </c>
      <c r="G786" s="4">
        <v>4</v>
      </c>
      <c r="H786" s="6">
        <v>18000</v>
      </c>
      <c r="I786" s="7">
        <v>0.05</v>
      </c>
    </row>
    <row r="787" spans="1:9">
      <c r="A787" s="8">
        <v>1786</v>
      </c>
      <c r="B787" s="9">
        <v>45765</v>
      </c>
      <c r="C787" s="8" t="s">
        <v>29</v>
      </c>
      <c r="D787" s="8" t="s">
        <v>30</v>
      </c>
      <c r="E787" s="8" t="s">
        <v>22</v>
      </c>
      <c r="F787" s="8" t="s">
        <v>24</v>
      </c>
      <c r="G787" s="8">
        <v>7</v>
      </c>
      <c r="H787" s="8">
        <v>250</v>
      </c>
      <c r="I787" s="11">
        <v>0.15</v>
      </c>
    </row>
    <row r="788" spans="1:9">
      <c r="A788" s="4">
        <v>1787</v>
      </c>
      <c r="B788" s="5">
        <v>45763</v>
      </c>
      <c r="C788" s="4" t="s">
        <v>25</v>
      </c>
      <c r="D788" s="4" t="s">
        <v>26</v>
      </c>
      <c r="E788" s="4" t="s">
        <v>14</v>
      </c>
      <c r="F788" s="4" t="s">
        <v>32</v>
      </c>
      <c r="G788" s="4">
        <v>14</v>
      </c>
      <c r="H788" s="6">
        <v>11000</v>
      </c>
      <c r="I788" s="7">
        <v>0.15</v>
      </c>
    </row>
    <row r="789" spans="1:9">
      <c r="A789" s="8">
        <v>1788</v>
      </c>
      <c r="B789" s="9">
        <v>45670</v>
      </c>
      <c r="C789" s="8" t="s">
        <v>34</v>
      </c>
      <c r="D789" s="8" t="s">
        <v>26</v>
      </c>
      <c r="E789" s="8" t="s">
        <v>14</v>
      </c>
      <c r="F789" s="8" t="s">
        <v>24</v>
      </c>
      <c r="G789" s="8">
        <v>11</v>
      </c>
      <c r="H789" s="10">
        <v>15000</v>
      </c>
      <c r="I789" s="11">
        <v>0</v>
      </c>
    </row>
    <row r="790" spans="1:9">
      <c r="A790" s="4">
        <v>1789</v>
      </c>
      <c r="B790" s="5">
        <v>45685</v>
      </c>
      <c r="C790" s="4" t="s">
        <v>13</v>
      </c>
      <c r="D790" s="4" t="s">
        <v>10</v>
      </c>
      <c r="E790" s="4" t="s">
        <v>14</v>
      </c>
      <c r="F790" s="4" t="s">
        <v>12</v>
      </c>
      <c r="G790" s="4">
        <v>9</v>
      </c>
      <c r="H790" s="6">
        <v>1200</v>
      </c>
      <c r="I790" s="7">
        <v>0.12</v>
      </c>
    </row>
    <row r="791" spans="1:9">
      <c r="A791" s="8">
        <v>1790</v>
      </c>
      <c r="B791" s="9">
        <v>45790</v>
      </c>
      <c r="C791" s="8" t="s">
        <v>31</v>
      </c>
      <c r="D791" s="8" t="s">
        <v>26</v>
      </c>
      <c r="E791" s="8" t="s">
        <v>22</v>
      </c>
      <c r="F791" s="8" t="s">
        <v>15</v>
      </c>
      <c r="G791" s="8">
        <v>13</v>
      </c>
      <c r="H791" s="10">
        <v>8500</v>
      </c>
      <c r="I791" s="11">
        <v>0.1</v>
      </c>
    </row>
    <row r="792" spans="1:9">
      <c r="A792" s="4">
        <v>1791</v>
      </c>
      <c r="B792" s="5">
        <v>45819</v>
      </c>
      <c r="C792" s="4" t="s">
        <v>16</v>
      </c>
      <c r="D792" s="4" t="s">
        <v>10</v>
      </c>
      <c r="E792" s="4" t="s">
        <v>14</v>
      </c>
      <c r="F792" s="4" t="s">
        <v>18</v>
      </c>
      <c r="G792" s="4">
        <v>13</v>
      </c>
      <c r="H792" s="6">
        <v>55000</v>
      </c>
      <c r="I792" s="7">
        <v>0.15</v>
      </c>
    </row>
    <row r="793" spans="1:9">
      <c r="A793" s="8">
        <v>1792</v>
      </c>
      <c r="B793" s="9">
        <v>45986</v>
      </c>
      <c r="C793" s="8" t="s">
        <v>39</v>
      </c>
      <c r="D793" s="8" t="s">
        <v>30</v>
      </c>
      <c r="E793" s="8" t="s">
        <v>14</v>
      </c>
      <c r="F793" s="8" t="s">
        <v>24</v>
      </c>
      <c r="G793" s="8">
        <v>20</v>
      </c>
      <c r="H793" s="8">
        <v>180</v>
      </c>
      <c r="I793" s="11">
        <v>0</v>
      </c>
    </row>
    <row r="794" spans="1:9">
      <c r="A794" s="4">
        <v>1793</v>
      </c>
      <c r="B794" s="5">
        <v>45841</v>
      </c>
      <c r="C794" s="4" t="s">
        <v>37</v>
      </c>
      <c r="D794" s="4" t="s">
        <v>36</v>
      </c>
      <c r="E794" s="4" t="s">
        <v>11</v>
      </c>
      <c r="F794" s="4" t="s">
        <v>27</v>
      </c>
      <c r="G794" s="4">
        <v>17</v>
      </c>
      <c r="H794" s="6">
        <v>1800</v>
      </c>
      <c r="I794" s="7">
        <v>0</v>
      </c>
    </row>
    <row r="795" spans="1:9">
      <c r="A795" s="8">
        <v>1794</v>
      </c>
      <c r="B795" s="9">
        <v>45968</v>
      </c>
      <c r="C795" s="8" t="s">
        <v>9</v>
      </c>
      <c r="D795" s="8" t="s">
        <v>10</v>
      </c>
      <c r="E795" s="8" t="s">
        <v>22</v>
      </c>
      <c r="F795" s="8" t="s">
        <v>15</v>
      </c>
      <c r="G795" s="8">
        <v>10</v>
      </c>
      <c r="H795" s="10">
        <v>18000</v>
      </c>
      <c r="I795" s="11">
        <v>0.1</v>
      </c>
    </row>
    <row r="796" spans="1:9">
      <c r="A796" s="4">
        <v>1795</v>
      </c>
      <c r="B796" s="5">
        <v>45996</v>
      </c>
      <c r="C796" s="4" t="s">
        <v>16</v>
      </c>
      <c r="D796" s="4" t="s">
        <v>10</v>
      </c>
      <c r="E796" s="4" t="s">
        <v>17</v>
      </c>
      <c r="F796" s="4" t="s">
        <v>32</v>
      </c>
      <c r="G796" s="4">
        <v>16</v>
      </c>
      <c r="H796" s="6">
        <v>55000</v>
      </c>
      <c r="I796" s="7">
        <v>0.05</v>
      </c>
    </row>
    <row r="797" spans="1:9">
      <c r="A797" s="8">
        <v>1796</v>
      </c>
      <c r="B797" s="9">
        <v>45858</v>
      </c>
      <c r="C797" s="8" t="s">
        <v>35</v>
      </c>
      <c r="D797" s="8" t="s">
        <v>36</v>
      </c>
      <c r="E797" s="8" t="s">
        <v>17</v>
      </c>
      <c r="F797" s="8" t="s">
        <v>27</v>
      </c>
      <c r="G797" s="8">
        <v>18</v>
      </c>
      <c r="H797" s="10">
        <v>3500</v>
      </c>
      <c r="I797" s="11">
        <v>0.08</v>
      </c>
    </row>
    <row r="798" spans="1:9">
      <c r="A798" s="4">
        <v>1797</v>
      </c>
      <c r="B798" s="5">
        <v>46004</v>
      </c>
      <c r="C798" s="4" t="s">
        <v>37</v>
      </c>
      <c r="D798" s="4" t="s">
        <v>36</v>
      </c>
      <c r="E798" s="4" t="s">
        <v>17</v>
      </c>
      <c r="F798" s="4" t="s">
        <v>24</v>
      </c>
      <c r="G798" s="4">
        <v>12</v>
      </c>
      <c r="H798" s="6">
        <v>1800</v>
      </c>
      <c r="I798" s="7">
        <v>0</v>
      </c>
    </row>
    <row r="799" spans="1:9">
      <c r="A799" s="8">
        <v>1798</v>
      </c>
      <c r="B799" s="9">
        <v>45679</v>
      </c>
      <c r="C799" s="8" t="s">
        <v>16</v>
      </c>
      <c r="D799" s="8" t="s">
        <v>10</v>
      </c>
      <c r="E799" s="8" t="s">
        <v>22</v>
      </c>
      <c r="F799" s="8" t="s">
        <v>24</v>
      </c>
      <c r="G799" s="8">
        <v>19</v>
      </c>
      <c r="H799" s="10">
        <v>55000</v>
      </c>
      <c r="I799" s="11">
        <v>0.12</v>
      </c>
    </row>
    <row r="800" spans="1:9">
      <c r="A800" s="4">
        <v>1799</v>
      </c>
      <c r="B800" s="5">
        <v>45814</v>
      </c>
      <c r="C800" s="4" t="s">
        <v>19</v>
      </c>
      <c r="D800" s="4" t="s">
        <v>10</v>
      </c>
      <c r="E800" s="4" t="s">
        <v>22</v>
      </c>
      <c r="F800" s="4" t="s">
        <v>32</v>
      </c>
      <c r="G800" s="4">
        <v>12</v>
      </c>
      <c r="H800" s="4">
        <v>800</v>
      </c>
      <c r="I800" s="7">
        <v>0.05</v>
      </c>
    </row>
    <row r="801" spans="1:9">
      <c r="A801" s="8">
        <v>1800</v>
      </c>
      <c r="B801" s="9">
        <v>45740</v>
      </c>
      <c r="C801" s="8" t="s">
        <v>13</v>
      </c>
      <c r="D801" s="8" t="s">
        <v>10</v>
      </c>
      <c r="E801" s="8" t="s">
        <v>11</v>
      </c>
      <c r="F801" s="8" t="s">
        <v>12</v>
      </c>
      <c r="G801" s="8">
        <v>8</v>
      </c>
      <c r="H801" s="10">
        <v>1200</v>
      </c>
      <c r="I801" s="11">
        <v>0.12</v>
      </c>
    </row>
    <row r="802" spans="1:9">
      <c r="A802" s="4">
        <v>1801</v>
      </c>
      <c r="B802" s="5">
        <v>45716</v>
      </c>
      <c r="C802" s="4" t="s">
        <v>13</v>
      </c>
      <c r="D802" s="4" t="s">
        <v>10</v>
      </c>
      <c r="E802" s="4" t="s">
        <v>22</v>
      </c>
      <c r="F802" s="4" t="s">
        <v>24</v>
      </c>
      <c r="G802" s="4">
        <v>19</v>
      </c>
      <c r="H802" s="6">
        <v>1200</v>
      </c>
      <c r="I802" s="7">
        <v>0</v>
      </c>
    </row>
    <row r="803" spans="1:9">
      <c r="A803" s="8">
        <v>1802</v>
      </c>
      <c r="B803" s="9">
        <v>45806</v>
      </c>
      <c r="C803" s="8" t="s">
        <v>29</v>
      </c>
      <c r="D803" s="8" t="s">
        <v>30</v>
      </c>
      <c r="E803" s="8" t="s">
        <v>14</v>
      </c>
      <c r="F803" s="8" t="s">
        <v>12</v>
      </c>
      <c r="G803" s="8">
        <v>3</v>
      </c>
      <c r="H803" s="8">
        <v>250</v>
      </c>
      <c r="I803" s="11">
        <v>0.08</v>
      </c>
    </row>
    <row r="804" spans="1:9">
      <c r="A804" s="4">
        <v>1803</v>
      </c>
      <c r="B804" s="5">
        <v>45955</v>
      </c>
      <c r="C804" s="4" t="s">
        <v>34</v>
      </c>
      <c r="D804" s="4" t="s">
        <v>26</v>
      </c>
      <c r="E804" s="4" t="s">
        <v>17</v>
      </c>
      <c r="F804" s="4" t="s">
        <v>12</v>
      </c>
      <c r="G804" s="4">
        <v>11</v>
      </c>
      <c r="H804" s="6">
        <v>15000</v>
      </c>
      <c r="I804" s="7">
        <v>0.08</v>
      </c>
    </row>
    <row r="805" spans="1:9">
      <c r="A805" s="8">
        <v>1804</v>
      </c>
      <c r="B805" s="9">
        <v>45709</v>
      </c>
      <c r="C805" s="8" t="s">
        <v>21</v>
      </c>
      <c r="D805" s="8" t="s">
        <v>10</v>
      </c>
      <c r="E805" s="8" t="s">
        <v>17</v>
      </c>
      <c r="F805" s="8" t="s">
        <v>23</v>
      </c>
      <c r="G805" s="8">
        <v>20</v>
      </c>
      <c r="H805" s="10">
        <v>14000</v>
      </c>
      <c r="I805" s="11">
        <v>0</v>
      </c>
    </row>
    <row r="806" spans="1:9">
      <c r="A806" s="4">
        <v>1805</v>
      </c>
      <c r="B806" s="5">
        <v>45906</v>
      </c>
      <c r="C806" s="4" t="s">
        <v>34</v>
      </c>
      <c r="D806" s="4" t="s">
        <v>26</v>
      </c>
      <c r="E806" s="4" t="s">
        <v>11</v>
      </c>
      <c r="F806" s="4" t="s">
        <v>32</v>
      </c>
      <c r="G806" s="4">
        <v>11</v>
      </c>
      <c r="H806" s="6">
        <v>15000</v>
      </c>
      <c r="I806" s="7">
        <v>0.12</v>
      </c>
    </row>
    <row r="807" spans="1:9">
      <c r="A807" s="8">
        <v>1806</v>
      </c>
      <c r="B807" s="9">
        <v>45947</v>
      </c>
      <c r="C807" s="8" t="s">
        <v>28</v>
      </c>
      <c r="D807" s="8" t="s">
        <v>26</v>
      </c>
      <c r="E807" s="8" t="s">
        <v>22</v>
      </c>
      <c r="F807" s="8" t="s">
        <v>32</v>
      </c>
      <c r="G807" s="8">
        <v>12</v>
      </c>
      <c r="H807" s="10">
        <v>9000</v>
      </c>
      <c r="I807" s="11">
        <v>0.08</v>
      </c>
    </row>
    <row r="808" spans="1:9">
      <c r="A808" s="4">
        <v>1807</v>
      </c>
      <c r="B808" s="5">
        <v>45660</v>
      </c>
      <c r="C808" s="4" t="s">
        <v>33</v>
      </c>
      <c r="D808" s="4" t="s">
        <v>10</v>
      </c>
      <c r="E808" s="4" t="s">
        <v>22</v>
      </c>
      <c r="F808" s="4" t="s">
        <v>27</v>
      </c>
      <c r="G808" s="4">
        <v>8</v>
      </c>
      <c r="H808" s="6">
        <v>2500</v>
      </c>
      <c r="I808" s="7">
        <v>0.05</v>
      </c>
    </row>
    <row r="809" spans="1:9">
      <c r="A809" s="8">
        <v>1808</v>
      </c>
      <c r="B809" s="9">
        <v>45842</v>
      </c>
      <c r="C809" s="8" t="s">
        <v>13</v>
      </c>
      <c r="D809" s="8" t="s">
        <v>10</v>
      </c>
      <c r="E809" s="8" t="s">
        <v>22</v>
      </c>
      <c r="F809" s="8" t="s">
        <v>20</v>
      </c>
      <c r="G809" s="8">
        <v>11</v>
      </c>
      <c r="H809" s="10">
        <v>1200</v>
      </c>
      <c r="I809" s="11">
        <v>0.1</v>
      </c>
    </row>
    <row r="810" spans="1:9">
      <c r="A810" s="4">
        <v>1809</v>
      </c>
      <c r="B810" s="5">
        <v>45841</v>
      </c>
      <c r="C810" s="4" t="s">
        <v>35</v>
      </c>
      <c r="D810" s="4" t="s">
        <v>36</v>
      </c>
      <c r="E810" s="4" t="s">
        <v>14</v>
      </c>
      <c r="F810" s="4" t="s">
        <v>32</v>
      </c>
      <c r="G810" s="4">
        <v>10</v>
      </c>
      <c r="H810" s="6">
        <v>3500</v>
      </c>
      <c r="I810" s="7">
        <v>0.1</v>
      </c>
    </row>
    <row r="811" spans="1:9">
      <c r="A811" s="8">
        <v>1810</v>
      </c>
      <c r="B811" s="9">
        <v>45988</v>
      </c>
      <c r="C811" s="8" t="s">
        <v>28</v>
      </c>
      <c r="D811" s="8" t="s">
        <v>26</v>
      </c>
      <c r="E811" s="8" t="s">
        <v>17</v>
      </c>
      <c r="F811" s="8" t="s">
        <v>12</v>
      </c>
      <c r="G811" s="8">
        <v>3</v>
      </c>
      <c r="H811" s="10">
        <v>9000</v>
      </c>
      <c r="I811" s="11">
        <v>0.08</v>
      </c>
    </row>
    <row r="812" spans="1:9">
      <c r="A812" s="4">
        <v>1811</v>
      </c>
      <c r="B812" s="5">
        <v>45792</v>
      </c>
      <c r="C812" s="4" t="s">
        <v>39</v>
      </c>
      <c r="D812" s="4" t="s">
        <v>30</v>
      </c>
      <c r="E812" s="4" t="s">
        <v>14</v>
      </c>
      <c r="F812" s="4" t="s">
        <v>18</v>
      </c>
      <c r="G812" s="4">
        <v>3</v>
      </c>
      <c r="H812" s="4">
        <v>180</v>
      </c>
      <c r="I812" s="7">
        <v>0.15</v>
      </c>
    </row>
    <row r="813" spans="1:9">
      <c r="A813" s="8">
        <v>1812</v>
      </c>
      <c r="B813" s="9">
        <v>45917</v>
      </c>
      <c r="C813" s="8" t="s">
        <v>29</v>
      </c>
      <c r="D813" s="8" t="s">
        <v>30</v>
      </c>
      <c r="E813" s="8" t="s">
        <v>22</v>
      </c>
      <c r="F813" s="8" t="s">
        <v>12</v>
      </c>
      <c r="G813" s="8">
        <v>1</v>
      </c>
      <c r="H813" s="8">
        <v>250</v>
      </c>
      <c r="I813" s="11">
        <v>0.12</v>
      </c>
    </row>
    <row r="814" spans="1:9">
      <c r="A814" s="4">
        <v>1813</v>
      </c>
      <c r="B814" s="5">
        <v>45676</v>
      </c>
      <c r="C814" s="4" t="s">
        <v>25</v>
      </c>
      <c r="D814" s="4" t="s">
        <v>26</v>
      </c>
      <c r="E814" s="4" t="s">
        <v>22</v>
      </c>
      <c r="F814" s="4" t="s">
        <v>32</v>
      </c>
      <c r="G814" s="4">
        <v>9</v>
      </c>
      <c r="H814" s="6">
        <v>11000</v>
      </c>
      <c r="I814" s="7">
        <v>0.12</v>
      </c>
    </row>
    <row r="815" spans="1:9">
      <c r="A815" s="8">
        <v>1814</v>
      </c>
      <c r="B815" s="9">
        <v>45845</v>
      </c>
      <c r="C815" s="8" t="s">
        <v>31</v>
      </c>
      <c r="D815" s="8" t="s">
        <v>26</v>
      </c>
      <c r="E815" s="8" t="s">
        <v>11</v>
      </c>
      <c r="F815" s="8" t="s">
        <v>32</v>
      </c>
      <c r="G815" s="8">
        <v>8</v>
      </c>
      <c r="H815" s="10">
        <v>8500</v>
      </c>
      <c r="I815" s="11">
        <v>0.12</v>
      </c>
    </row>
    <row r="816" spans="1:9">
      <c r="A816" s="4">
        <v>1815</v>
      </c>
      <c r="B816" s="5">
        <v>45895</v>
      </c>
      <c r="C816" s="4" t="s">
        <v>25</v>
      </c>
      <c r="D816" s="4" t="s">
        <v>26</v>
      </c>
      <c r="E816" s="4" t="s">
        <v>22</v>
      </c>
      <c r="F816" s="4" t="s">
        <v>23</v>
      </c>
      <c r="G816" s="4">
        <v>17</v>
      </c>
      <c r="H816" s="6">
        <v>11000</v>
      </c>
      <c r="I816" s="7">
        <v>0</v>
      </c>
    </row>
    <row r="817" spans="1:9">
      <c r="A817" s="8">
        <v>1816</v>
      </c>
      <c r="B817" s="9">
        <v>45915</v>
      </c>
      <c r="C817" s="8" t="s">
        <v>16</v>
      </c>
      <c r="D817" s="8" t="s">
        <v>10</v>
      </c>
      <c r="E817" s="8" t="s">
        <v>17</v>
      </c>
      <c r="F817" s="8" t="s">
        <v>32</v>
      </c>
      <c r="G817" s="8">
        <v>8</v>
      </c>
      <c r="H817" s="10">
        <v>55000</v>
      </c>
      <c r="I817" s="11">
        <v>0.12</v>
      </c>
    </row>
    <row r="818" spans="1:9">
      <c r="A818" s="4">
        <v>1817</v>
      </c>
      <c r="B818" s="5">
        <v>45886</v>
      </c>
      <c r="C818" s="4" t="s">
        <v>13</v>
      </c>
      <c r="D818" s="4" t="s">
        <v>10</v>
      </c>
      <c r="E818" s="4" t="s">
        <v>17</v>
      </c>
      <c r="F818" s="4" t="s">
        <v>20</v>
      </c>
      <c r="G818" s="4">
        <v>6</v>
      </c>
      <c r="H818" s="6">
        <v>1200</v>
      </c>
      <c r="I818" s="7">
        <v>0.12</v>
      </c>
    </row>
    <row r="819" spans="1:9">
      <c r="A819" s="8">
        <v>1818</v>
      </c>
      <c r="B819" s="9">
        <v>45841</v>
      </c>
      <c r="C819" s="8" t="s">
        <v>16</v>
      </c>
      <c r="D819" s="8" t="s">
        <v>10</v>
      </c>
      <c r="E819" s="8" t="s">
        <v>17</v>
      </c>
      <c r="F819" s="8" t="s">
        <v>24</v>
      </c>
      <c r="G819" s="8">
        <v>8</v>
      </c>
      <c r="H819" s="10">
        <v>55000</v>
      </c>
      <c r="I819" s="11">
        <v>0.1</v>
      </c>
    </row>
    <row r="820" spans="1:9">
      <c r="A820" s="4">
        <v>1819</v>
      </c>
      <c r="B820" s="5">
        <v>45793</v>
      </c>
      <c r="C820" s="4" t="s">
        <v>33</v>
      </c>
      <c r="D820" s="4" t="s">
        <v>10</v>
      </c>
      <c r="E820" s="4" t="s">
        <v>17</v>
      </c>
      <c r="F820" s="4" t="s">
        <v>23</v>
      </c>
      <c r="G820" s="4">
        <v>8</v>
      </c>
      <c r="H820" s="6">
        <v>2500</v>
      </c>
      <c r="I820" s="7">
        <v>0</v>
      </c>
    </row>
    <row r="821" spans="1:9">
      <c r="A821" s="8">
        <v>1820</v>
      </c>
      <c r="B821" s="9">
        <v>45856</v>
      </c>
      <c r="C821" s="8" t="s">
        <v>34</v>
      </c>
      <c r="D821" s="8" t="s">
        <v>26</v>
      </c>
      <c r="E821" s="8" t="s">
        <v>14</v>
      </c>
      <c r="F821" s="8" t="s">
        <v>23</v>
      </c>
      <c r="G821" s="8">
        <v>15</v>
      </c>
      <c r="H821" s="10">
        <v>15000</v>
      </c>
      <c r="I821" s="11">
        <v>0</v>
      </c>
    </row>
    <row r="822" spans="1:9">
      <c r="A822" s="4">
        <v>1821</v>
      </c>
      <c r="B822" s="5">
        <v>45710</v>
      </c>
      <c r="C822" s="4" t="s">
        <v>39</v>
      </c>
      <c r="D822" s="4" t="s">
        <v>30</v>
      </c>
      <c r="E822" s="4" t="s">
        <v>11</v>
      </c>
      <c r="F822" s="4" t="s">
        <v>27</v>
      </c>
      <c r="G822" s="4">
        <v>17</v>
      </c>
      <c r="H822" s="4">
        <v>180</v>
      </c>
      <c r="I822" s="7">
        <v>0.15</v>
      </c>
    </row>
    <row r="823" spans="1:9">
      <c r="A823" s="8">
        <v>1822</v>
      </c>
      <c r="B823" s="9">
        <v>45954</v>
      </c>
      <c r="C823" s="8" t="s">
        <v>25</v>
      </c>
      <c r="D823" s="8" t="s">
        <v>26</v>
      </c>
      <c r="E823" s="8" t="s">
        <v>22</v>
      </c>
      <c r="F823" s="8" t="s">
        <v>15</v>
      </c>
      <c r="G823" s="8">
        <v>19</v>
      </c>
      <c r="H823" s="10">
        <v>11000</v>
      </c>
      <c r="I823" s="11">
        <v>0.05</v>
      </c>
    </row>
    <row r="824" spans="1:9">
      <c r="A824" s="4">
        <v>1823</v>
      </c>
      <c r="B824" s="5">
        <v>45845</v>
      </c>
      <c r="C824" s="4" t="s">
        <v>28</v>
      </c>
      <c r="D824" s="4" t="s">
        <v>26</v>
      </c>
      <c r="E824" s="4" t="s">
        <v>11</v>
      </c>
      <c r="F824" s="4" t="s">
        <v>15</v>
      </c>
      <c r="G824" s="4">
        <v>3</v>
      </c>
      <c r="H824" s="6">
        <v>9000</v>
      </c>
      <c r="I824" s="7">
        <v>0.12</v>
      </c>
    </row>
    <row r="825" spans="1:9">
      <c r="A825" s="8">
        <v>1824</v>
      </c>
      <c r="B825" s="9">
        <v>45772</v>
      </c>
      <c r="C825" s="8" t="s">
        <v>25</v>
      </c>
      <c r="D825" s="8" t="s">
        <v>26</v>
      </c>
      <c r="E825" s="8" t="s">
        <v>11</v>
      </c>
      <c r="F825" s="8" t="s">
        <v>20</v>
      </c>
      <c r="G825" s="8">
        <v>13</v>
      </c>
      <c r="H825" s="10">
        <v>11000</v>
      </c>
      <c r="I825" s="11">
        <v>0.08</v>
      </c>
    </row>
    <row r="826" spans="1:9">
      <c r="A826" s="4">
        <v>1825</v>
      </c>
      <c r="B826" s="5">
        <v>45904</v>
      </c>
      <c r="C826" s="4" t="s">
        <v>37</v>
      </c>
      <c r="D826" s="4" t="s">
        <v>44</v>
      </c>
      <c r="E826" s="4" t="s">
        <v>17</v>
      </c>
      <c r="F826" s="4" t="s">
        <v>20</v>
      </c>
      <c r="G826" s="4">
        <v>20</v>
      </c>
      <c r="H826" s="6">
        <v>1800</v>
      </c>
      <c r="I826" s="7">
        <v>0</v>
      </c>
    </row>
    <row r="827" spans="1:9">
      <c r="A827" s="8">
        <v>1826</v>
      </c>
      <c r="B827" s="9">
        <v>45742</v>
      </c>
      <c r="C827" s="8" t="s">
        <v>19</v>
      </c>
      <c r="D827" s="8" t="s">
        <v>10</v>
      </c>
      <c r="E827" s="8" t="s">
        <v>11</v>
      </c>
      <c r="F827" s="8" t="s">
        <v>12</v>
      </c>
      <c r="G827" s="8">
        <v>3</v>
      </c>
      <c r="H827" s="8">
        <v>800</v>
      </c>
      <c r="I827" s="11">
        <v>0.12</v>
      </c>
    </row>
    <row r="828" spans="1:9">
      <c r="A828" s="4">
        <v>1827</v>
      </c>
      <c r="B828" s="5">
        <v>45734</v>
      </c>
      <c r="C828" s="4" t="s">
        <v>13</v>
      </c>
      <c r="D828" s="4" t="s">
        <v>10</v>
      </c>
      <c r="E828" s="4" t="s">
        <v>14</v>
      </c>
      <c r="F828" s="4" t="s">
        <v>12</v>
      </c>
      <c r="G828" s="4">
        <v>6</v>
      </c>
      <c r="H828" s="6">
        <v>1200</v>
      </c>
      <c r="I828" s="7">
        <v>0.08</v>
      </c>
    </row>
    <row r="829" spans="1:9">
      <c r="A829" s="8">
        <v>1828</v>
      </c>
      <c r="B829" s="9">
        <v>45870</v>
      </c>
      <c r="C829" s="8" t="s">
        <v>35</v>
      </c>
      <c r="D829" s="8" t="s">
        <v>36</v>
      </c>
      <c r="E829" s="8" t="s">
        <v>14</v>
      </c>
      <c r="F829" s="8" t="s">
        <v>20</v>
      </c>
      <c r="G829" s="8">
        <v>11</v>
      </c>
      <c r="H829" s="10">
        <v>3500</v>
      </c>
      <c r="I829" s="11">
        <v>0.15</v>
      </c>
    </row>
    <row r="830" spans="1:9">
      <c r="A830" s="4">
        <v>1829</v>
      </c>
      <c r="B830" s="5">
        <v>46003</v>
      </c>
      <c r="C830" s="4" t="s">
        <v>34</v>
      </c>
      <c r="D830" s="4" t="s">
        <v>26</v>
      </c>
      <c r="E830" s="4" t="s">
        <v>17</v>
      </c>
      <c r="F830" s="4" t="s">
        <v>15</v>
      </c>
      <c r="G830" s="4">
        <v>16</v>
      </c>
      <c r="H830" s="6">
        <v>15000</v>
      </c>
      <c r="I830" s="7">
        <v>0.05</v>
      </c>
    </row>
    <row r="831" spans="1:9">
      <c r="A831" s="8">
        <v>1830</v>
      </c>
      <c r="B831" s="9">
        <v>45669</v>
      </c>
      <c r="C831" s="8" t="s">
        <v>19</v>
      </c>
      <c r="D831" s="8" t="s">
        <v>10</v>
      </c>
      <c r="E831" s="8" t="s">
        <v>17</v>
      </c>
      <c r="F831" s="8" t="s">
        <v>32</v>
      </c>
      <c r="G831" s="8">
        <v>2</v>
      </c>
      <c r="H831" s="8">
        <v>800</v>
      </c>
      <c r="I831" s="11">
        <v>0.05</v>
      </c>
    </row>
    <row r="832" spans="1:9">
      <c r="A832" s="4">
        <v>1831</v>
      </c>
      <c r="B832" s="5">
        <v>45980</v>
      </c>
      <c r="C832" s="4" t="s">
        <v>25</v>
      </c>
      <c r="D832" s="4" t="s">
        <v>26</v>
      </c>
      <c r="E832" s="4" t="s">
        <v>17</v>
      </c>
      <c r="F832" s="4" t="s">
        <v>18</v>
      </c>
      <c r="G832" s="4">
        <v>2</v>
      </c>
      <c r="H832" s="6">
        <v>11000</v>
      </c>
      <c r="I832" s="7">
        <v>0.12</v>
      </c>
    </row>
    <row r="833" spans="1:9">
      <c r="A833" s="8">
        <v>1832</v>
      </c>
      <c r="B833" s="9">
        <v>45743</v>
      </c>
      <c r="C833" s="8" t="s">
        <v>21</v>
      </c>
      <c r="D833" s="8" t="s">
        <v>10</v>
      </c>
      <c r="E833" s="8" t="s">
        <v>22</v>
      </c>
      <c r="F833" s="8" t="s">
        <v>18</v>
      </c>
      <c r="G833" s="8">
        <v>6</v>
      </c>
      <c r="H833" s="10">
        <v>14000</v>
      </c>
      <c r="I833" s="11">
        <v>0.12</v>
      </c>
    </row>
    <row r="834" spans="1:9">
      <c r="A834" s="4">
        <v>1833</v>
      </c>
      <c r="B834" s="5">
        <v>45996</v>
      </c>
      <c r="C834" s="4" t="s">
        <v>38</v>
      </c>
      <c r="D834" s="4" t="s">
        <v>10</v>
      </c>
      <c r="E834" s="4" t="s">
        <v>17</v>
      </c>
      <c r="F834" s="4" t="s">
        <v>20</v>
      </c>
      <c r="G834" s="4">
        <v>10</v>
      </c>
      <c r="H834" s="6">
        <v>42000</v>
      </c>
      <c r="I834" s="7">
        <v>0</v>
      </c>
    </row>
    <row r="835" spans="1:9">
      <c r="A835" s="8">
        <v>1834</v>
      </c>
      <c r="B835" s="9">
        <v>45968</v>
      </c>
      <c r="C835" s="8" t="s">
        <v>34</v>
      </c>
      <c r="D835" s="8" t="s">
        <v>26</v>
      </c>
      <c r="E835" s="8" t="s">
        <v>17</v>
      </c>
      <c r="F835" s="8" t="s">
        <v>15</v>
      </c>
      <c r="G835" s="8">
        <v>16</v>
      </c>
      <c r="H835" s="10">
        <v>15000</v>
      </c>
      <c r="I835" s="11">
        <v>0.05</v>
      </c>
    </row>
    <row r="836" spans="1:9">
      <c r="A836" s="4">
        <v>1835</v>
      </c>
      <c r="B836" s="5">
        <v>45965</v>
      </c>
      <c r="C836" s="4" t="s">
        <v>13</v>
      </c>
      <c r="D836" s="4" t="s">
        <v>10</v>
      </c>
      <c r="E836" s="4" t="s">
        <v>11</v>
      </c>
      <c r="F836" s="4" t="s">
        <v>32</v>
      </c>
      <c r="G836" s="4">
        <v>19</v>
      </c>
      <c r="H836" s="6">
        <v>1200</v>
      </c>
      <c r="I836" s="7">
        <v>0.05</v>
      </c>
    </row>
    <row r="837" spans="1:9">
      <c r="A837" s="8">
        <v>1836</v>
      </c>
      <c r="B837" s="9">
        <v>46009</v>
      </c>
      <c r="C837" s="8" t="s">
        <v>33</v>
      </c>
      <c r="D837" s="8" t="s">
        <v>10</v>
      </c>
      <c r="E837" s="8" t="s">
        <v>14</v>
      </c>
      <c r="F837" s="8" t="s">
        <v>12</v>
      </c>
      <c r="G837" s="8">
        <v>15</v>
      </c>
      <c r="H837" s="10">
        <v>2500</v>
      </c>
      <c r="I837" s="11">
        <v>0.12</v>
      </c>
    </row>
    <row r="838" spans="1:9">
      <c r="A838" s="4">
        <v>1837</v>
      </c>
      <c r="B838" s="5">
        <v>45851</v>
      </c>
      <c r="C838" s="4" t="s">
        <v>31</v>
      </c>
      <c r="D838" s="4" t="s">
        <v>26</v>
      </c>
      <c r="E838" s="4" t="s">
        <v>14</v>
      </c>
      <c r="F838" s="4" t="s">
        <v>12</v>
      </c>
      <c r="G838" s="4">
        <v>5</v>
      </c>
      <c r="H838" s="6">
        <v>8500</v>
      </c>
      <c r="I838" s="7">
        <v>0</v>
      </c>
    </row>
    <row r="839" spans="1:9">
      <c r="A839" s="8">
        <v>1838</v>
      </c>
      <c r="B839" s="9">
        <v>45925</v>
      </c>
      <c r="C839" s="8" t="s">
        <v>38</v>
      </c>
      <c r="D839" s="8" t="s">
        <v>10</v>
      </c>
      <c r="E839" s="8" t="s">
        <v>22</v>
      </c>
      <c r="F839" s="8" t="s">
        <v>32</v>
      </c>
      <c r="G839" s="8">
        <v>17</v>
      </c>
      <c r="H839" s="10">
        <v>42000</v>
      </c>
      <c r="I839" s="11">
        <v>0.15</v>
      </c>
    </row>
    <row r="840" spans="1:9">
      <c r="A840" s="4">
        <v>1839</v>
      </c>
      <c r="B840" s="5">
        <v>45968</v>
      </c>
      <c r="C840" s="4" t="s">
        <v>9</v>
      </c>
      <c r="D840" s="4" t="s">
        <v>10</v>
      </c>
      <c r="E840" s="4" t="s">
        <v>14</v>
      </c>
      <c r="F840" s="4" t="s">
        <v>24</v>
      </c>
      <c r="G840" s="4">
        <v>6</v>
      </c>
      <c r="H840" s="6">
        <v>18000</v>
      </c>
      <c r="I840" s="7">
        <v>0.1</v>
      </c>
    </row>
    <row r="841" spans="1:9">
      <c r="A841" s="8">
        <v>1840</v>
      </c>
      <c r="B841" s="9">
        <v>45705</v>
      </c>
      <c r="C841" s="8" t="s">
        <v>34</v>
      </c>
      <c r="D841" s="8" t="s">
        <v>26</v>
      </c>
      <c r="E841" s="8" t="s">
        <v>14</v>
      </c>
      <c r="F841" s="8" t="s">
        <v>15</v>
      </c>
      <c r="G841" s="8">
        <v>5</v>
      </c>
      <c r="H841" s="10">
        <v>15000</v>
      </c>
      <c r="I841" s="11">
        <v>0.12</v>
      </c>
    </row>
    <row r="842" spans="1:9">
      <c r="A842" s="4">
        <v>1841</v>
      </c>
      <c r="B842" s="5">
        <v>45925</v>
      </c>
      <c r="C842" s="4" t="s">
        <v>31</v>
      </c>
      <c r="D842" s="4" t="s">
        <v>26</v>
      </c>
      <c r="E842" s="4" t="s">
        <v>22</v>
      </c>
      <c r="F842" s="4" t="s">
        <v>12</v>
      </c>
      <c r="G842" s="4">
        <v>12</v>
      </c>
      <c r="H842" s="6">
        <v>8500</v>
      </c>
      <c r="I842" s="7">
        <v>0</v>
      </c>
    </row>
    <row r="843" spans="1:9">
      <c r="A843" s="8">
        <v>1842</v>
      </c>
      <c r="B843" s="9">
        <v>45904</v>
      </c>
      <c r="C843" s="8" t="s">
        <v>35</v>
      </c>
      <c r="D843" s="8" t="s">
        <v>36</v>
      </c>
      <c r="E843" s="8" t="s">
        <v>14</v>
      </c>
      <c r="F843" s="8" t="s">
        <v>15</v>
      </c>
      <c r="G843" s="8">
        <v>13</v>
      </c>
      <c r="H843" s="10">
        <v>3500</v>
      </c>
      <c r="I843" s="11">
        <v>0.08</v>
      </c>
    </row>
    <row r="844" spans="1:9">
      <c r="A844" s="4">
        <v>1843</v>
      </c>
      <c r="B844" s="5">
        <v>45726</v>
      </c>
      <c r="C844" s="4" t="s">
        <v>21</v>
      </c>
      <c r="D844" s="4" t="s">
        <v>10</v>
      </c>
      <c r="E844" s="4" t="s">
        <v>14</v>
      </c>
      <c r="F844" s="4" t="s">
        <v>27</v>
      </c>
      <c r="G844" s="4">
        <v>16</v>
      </c>
      <c r="H844" s="6">
        <v>14000</v>
      </c>
      <c r="I844" s="7">
        <v>0.05</v>
      </c>
    </row>
    <row r="845" spans="1:9">
      <c r="A845" s="8">
        <v>1844</v>
      </c>
      <c r="B845" s="9">
        <v>45964</v>
      </c>
      <c r="C845" s="8" t="s">
        <v>37</v>
      </c>
      <c r="D845" s="8" t="s">
        <v>36</v>
      </c>
      <c r="E845" s="8" t="s">
        <v>11</v>
      </c>
      <c r="F845" s="8" t="s">
        <v>12</v>
      </c>
      <c r="G845" s="8">
        <v>18</v>
      </c>
      <c r="H845" s="10">
        <v>1800</v>
      </c>
      <c r="I845" s="11">
        <v>0.1</v>
      </c>
    </row>
    <row r="846" spans="1:9">
      <c r="A846" s="4">
        <v>1845</v>
      </c>
      <c r="B846" s="5">
        <v>45660</v>
      </c>
      <c r="C846" s="4" t="s">
        <v>39</v>
      </c>
      <c r="D846" s="4" t="s">
        <v>30</v>
      </c>
      <c r="E846" s="4" t="s">
        <v>14</v>
      </c>
      <c r="F846" s="4" t="s">
        <v>18</v>
      </c>
      <c r="G846" s="4">
        <v>1</v>
      </c>
      <c r="H846" s="4">
        <v>180</v>
      </c>
      <c r="I846" s="7">
        <v>0.12</v>
      </c>
    </row>
    <row r="847" spans="1:9">
      <c r="A847" s="8">
        <v>1846</v>
      </c>
      <c r="B847" s="9">
        <v>45850</v>
      </c>
      <c r="C847" s="8" t="s">
        <v>29</v>
      </c>
      <c r="D847" s="8" t="s">
        <v>30</v>
      </c>
      <c r="E847" s="8" t="s">
        <v>11</v>
      </c>
      <c r="F847" s="8" t="s">
        <v>15</v>
      </c>
      <c r="G847" s="8">
        <v>7</v>
      </c>
      <c r="H847" s="8">
        <v>250</v>
      </c>
      <c r="I847" s="11">
        <v>0.15</v>
      </c>
    </row>
    <row r="848" spans="1:9">
      <c r="A848" s="4">
        <v>1847</v>
      </c>
      <c r="B848" s="5">
        <v>45843</v>
      </c>
      <c r="C848" s="4" t="s">
        <v>9</v>
      </c>
      <c r="D848" s="4" t="s">
        <v>10</v>
      </c>
      <c r="E848" s="4" t="s">
        <v>11</v>
      </c>
      <c r="F848" s="4" t="s">
        <v>27</v>
      </c>
      <c r="G848" s="4">
        <v>5</v>
      </c>
      <c r="H848" s="6">
        <v>18000</v>
      </c>
      <c r="I848" s="7">
        <v>0.1</v>
      </c>
    </row>
    <row r="849" spans="1:9">
      <c r="A849" s="8">
        <v>1848</v>
      </c>
      <c r="B849" s="9">
        <v>45932</v>
      </c>
      <c r="C849" s="8" t="s">
        <v>31</v>
      </c>
      <c r="D849" s="8" t="s">
        <v>26</v>
      </c>
      <c r="E849" s="8" t="s">
        <v>11</v>
      </c>
      <c r="F849" s="8" t="s">
        <v>15</v>
      </c>
      <c r="G849" s="8">
        <v>19</v>
      </c>
      <c r="H849" s="10">
        <v>8500</v>
      </c>
      <c r="I849" s="11">
        <v>0.08</v>
      </c>
    </row>
    <row r="850" spans="1:9">
      <c r="A850" s="4">
        <v>1849</v>
      </c>
      <c r="B850" s="5">
        <v>45762</v>
      </c>
      <c r="C850" s="4" t="s">
        <v>31</v>
      </c>
      <c r="D850" s="4" t="s">
        <v>26</v>
      </c>
      <c r="E850" s="4" t="s">
        <v>22</v>
      </c>
      <c r="F850" s="4" t="s">
        <v>32</v>
      </c>
      <c r="G850" s="4">
        <v>18</v>
      </c>
      <c r="H850" s="6">
        <v>8500</v>
      </c>
      <c r="I850" s="7">
        <v>0.12</v>
      </c>
    </row>
    <row r="851" spans="1:9">
      <c r="A851" s="8">
        <v>1850</v>
      </c>
      <c r="B851" s="9">
        <v>45847</v>
      </c>
      <c r="C851" s="8" t="s">
        <v>25</v>
      </c>
      <c r="D851" s="8" t="s">
        <v>26</v>
      </c>
      <c r="E851" s="8" t="s">
        <v>11</v>
      </c>
      <c r="F851" s="8" t="s">
        <v>27</v>
      </c>
      <c r="G851" s="8">
        <v>18</v>
      </c>
      <c r="H851" s="10">
        <v>11000</v>
      </c>
      <c r="I851" s="11">
        <v>0.1</v>
      </c>
    </row>
    <row r="852" spans="1:9">
      <c r="A852" s="4">
        <v>1851</v>
      </c>
      <c r="B852" s="5">
        <v>45953</v>
      </c>
      <c r="C852" s="4" t="s">
        <v>33</v>
      </c>
      <c r="D852" s="4" t="s">
        <v>10</v>
      </c>
      <c r="E852" s="4" t="s">
        <v>17</v>
      </c>
      <c r="F852" s="4" t="s">
        <v>24</v>
      </c>
      <c r="G852" s="4">
        <v>13</v>
      </c>
      <c r="H852" s="6">
        <v>2500</v>
      </c>
      <c r="I852" s="7">
        <v>0.15</v>
      </c>
    </row>
    <row r="853" spans="1:9">
      <c r="A853" s="8">
        <v>1852</v>
      </c>
      <c r="B853" s="9">
        <v>45775</v>
      </c>
      <c r="C853" s="8" t="s">
        <v>34</v>
      </c>
      <c r="D853" s="8" t="s">
        <v>26</v>
      </c>
      <c r="E853" s="8" t="s">
        <v>17</v>
      </c>
      <c r="F853" s="8" t="s">
        <v>15</v>
      </c>
      <c r="G853" s="8">
        <v>6</v>
      </c>
      <c r="H853" s="10">
        <v>15000</v>
      </c>
      <c r="I853" s="11">
        <v>0</v>
      </c>
    </row>
    <row r="854" spans="1:9">
      <c r="A854" s="4">
        <v>1853</v>
      </c>
      <c r="B854" s="5">
        <v>45831</v>
      </c>
      <c r="C854" s="4" t="s">
        <v>35</v>
      </c>
      <c r="D854" s="4" t="s">
        <v>36</v>
      </c>
      <c r="E854" s="4" t="s">
        <v>14</v>
      </c>
      <c r="F854" s="4" t="s">
        <v>32</v>
      </c>
      <c r="G854" s="4">
        <v>18</v>
      </c>
      <c r="H854" s="6">
        <v>3500</v>
      </c>
      <c r="I854" s="7">
        <v>0.12</v>
      </c>
    </row>
    <row r="855" spans="1:9">
      <c r="A855" s="8">
        <v>1854</v>
      </c>
      <c r="B855" s="9">
        <v>45857</v>
      </c>
      <c r="C855" s="8" t="s">
        <v>29</v>
      </c>
      <c r="D855" s="8" t="s">
        <v>30</v>
      </c>
      <c r="E855" s="8" t="s">
        <v>17</v>
      </c>
      <c r="F855" s="8" t="s">
        <v>20</v>
      </c>
      <c r="G855" s="8">
        <v>1</v>
      </c>
      <c r="H855" s="8">
        <v>250</v>
      </c>
      <c r="I855" s="11">
        <v>0</v>
      </c>
    </row>
    <row r="856" spans="1:9">
      <c r="A856" s="4">
        <v>1855</v>
      </c>
      <c r="B856" s="5">
        <v>45965</v>
      </c>
      <c r="C856" s="4" t="s">
        <v>31</v>
      </c>
      <c r="D856" s="4" t="s">
        <v>26</v>
      </c>
      <c r="E856" s="4" t="s">
        <v>11</v>
      </c>
      <c r="F856" s="4" t="s">
        <v>12</v>
      </c>
      <c r="G856" s="4">
        <v>3</v>
      </c>
      <c r="H856" s="6">
        <v>8500</v>
      </c>
      <c r="I856" s="7">
        <v>0</v>
      </c>
    </row>
    <row r="857" spans="1:9">
      <c r="A857" s="8">
        <v>1856</v>
      </c>
      <c r="B857" s="9">
        <v>45847</v>
      </c>
      <c r="C857" s="8" t="s">
        <v>9</v>
      </c>
      <c r="D857" s="8" t="s">
        <v>10</v>
      </c>
      <c r="E857" s="8" t="s">
        <v>22</v>
      </c>
      <c r="F857" s="8" t="s">
        <v>15</v>
      </c>
      <c r="G857" s="8">
        <v>20</v>
      </c>
      <c r="H857" s="10">
        <v>18000</v>
      </c>
      <c r="I857" s="11">
        <v>0</v>
      </c>
    </row>
    <row r="858" spans="1:9">
      <c r="A858" s="4">
        <v>1857</v>
      </c>
      <c r="B858" s="5">
        <v>45972</v>
      </c>
      <c r="C858" s="4" t="s">
        <v>29</v>
      </c>
      <c r="D858" s="4" t="s">
        <v>30</v>
      </c>
      <c r="E858" s="4" t="s">
        <v>14</v>
      </c>
      <c r="F858" s="4" t="s">
        <v>32</v>
      </c>
      <c r="G858" s="4">
        <v>17</v>
      </c>
      <c r="H858" s="4">
        <v>250</v>
      </c>
      <c r="I858" s="7">
        <v>0.08</v>
      </c>
    </row>
    <row r="859" spans="1:9">
      <c r="A859" s="8">
        <v>1858</v>
      </c>
      <c r="B859" s="9">
        <v>45985</v>
      </c>
      <c r="C859" s="8" t="s">
        <v>34</v>
      </c>
      <c r="D859" s="8" t="s">
        <v>26</v>
      </c>
      <c r="E859" s="8" t="s">
        <v>17</v>
      </c>
      <c r="F859" s="8" t="s">
        <v>27</v>
      </c>
      <c r="G859" s="8">
        <v>15</v>
      </c>
      <c r="H859" s="10">
        <v>15000</v>
      </c>
      <c r="I859" s="11">
        <v>0</v>
      </c>
    </row>
    <row r="860" spans="1:9">
      <c r="A860" s="4">
        <v>1859</v>
      </c>
      <c r="B860" s="5">
        <v>45757</v>
      </c>
      <c r="C860" s="4" t="s">
        <v>16</v>
      </c>
      <c r="D860" s="4" t="s">
        <v>10</v>
      </c>
      <c r="E860" s="4" t="s">
        <v>17</v>
      </c>
      <c r="F860" s="4" t="s">
        <v>32</v>
      </c>
      <c r="G860" s="4">
        <v>20</v>
      </c>
      <c r="H860" s="6">
        <v>55000</v>
      </c>
      <c r="I860" s="7">
        <v>0.12</v>
      </c>
    </row>
    <row r="861" spans="1:9">
      <c r="A861" s="8">
        <v>1860</v>
      </c>
      <c r="B861" s="9">
        <v>46003</v>
      </c>
      <c r="C861" s="8" t="s">
        <v>16</v>
      </c>
      <c r="D861" s="8" t="s">
        <v>10</v>
      </c>
      <c r="E861" s="8" t="s">
        <v>14</v>
      </c>
      <c r="F861" s="8" t="s">
        <v>32</v>
      </c>
      <c r="G861" s="8">
        <v>12</v>
      </c>
      <c r="H861" s="10">
        <v>55000</v>
      </c>
      <c r="I861" s="11">
        <v>0.05</v>
      </c>
    </row>
    <row r="862" spans="1:9">
      <c r="A862" s="4">
        <v>1861</v>
      </c>
      <c r="B862" s="5">
        <v>45702</v>
      </c>
      <c r="C862" s="4" t="s">
        <v>21</v>
      </c>
      <c r="D862" s="4" t="s">
        <v>10</v>
      </c>
      <c r="E862" s="4" t="s">
        <v>22</v>
      </c>
      <c r="F862" s="4" t="s">
        <v>15</v>
      </c>
      <c r="G862" s="4">
        <v>13</v>
      </c>
      <c r="H862" s="6">
        <v>14000</v>
      </c>
      <c r="I862" s="7">
        <v>0.08</v>
      </c>
    </row>
    <row r="863" spans="1:9">
      <c r="A863" s="8">
        <v>1862</v>
      </c>
      <c r="B863" s="9">
        <v>45958</v>
      </c>
      <c r="C863" s="8" t="s">
        <v>19</v>
      </c>
      <c r="D863" s="8" t="s">
        <v>10</v>
      </c>
      <c r="E863" s="8" t="s">
        <v>14</v>
      </c>
      <c r="F863" s="8" t="s">
        <v>24</v>
      </c>
      <c r="G863" s="8">
        <v>17</v>
      </c>
      <c r="H863" s="8">
        <v>800</v>
      </c>
      <c r="I863" s="11">
        <v>0</v>
      </c>
    </row>
    <row r="864" spans="1:9">
      <c r="A864" s="4">
        <v>1863</v>
      </c>
      <c r="B864" s="5">
        <v>45939</v>
      </c>
      <c r="C864" s="4" t="s">
        <v>21</v>
      </c>
      <c r="D864" s="4" t="s">
        <v>10</v>
      </c>
      <c r="E864" s="4" t="s">
        <v>11</v>
      </c>
      <c r="F864" s="4" t="s">
        <v>23</v>
      </c>
      <c r="G864" s="4">
        <v>18</v>
      </c>
      <c r="H864" s="6">
        <v>14000</v>
      </c>
      <c r="I864" s="7">
        <v>0.12</v>
      </c>
    </row>
    <row r="865" spans="1:9">
      <c r="A865" s="8">
        <v>1864</v>
      </c>
      <c r="B865" s="9">
        <v>45799</v>
      </c>
      <c r="C865" s="8" t="s">
        <v>19</v>
      </c>
      <c r="D865" s="8" t="s">
        <v>10</v>
      </c>
      <c r="E865" s="8" t="s">
        <v>22</v>
      </c>
      <c r="F865" s="8" t="s">
        <v>15</v>
      </c>
      <c r="G865" s="8">
        <v>20</v>
      </c>
      <c r="H865" s="8">
        <v>800</v>
      </c>
      <c r="I865" s="11">
        <v>0.05</v>
      </c>
    </row>
    <row r="866" spans="1:9">
      <c r="A866" s="4">
        <v>1865</v>
      </c>
      <c r="B866" s="5">
        <v>45952</v>
      </c>
      <c r="C866" s="4" t="s">
        <v>16</v>
      </c>
      <c r="D866" s="4" t="s">
        <v>10</v>
      </c>
      <c r="E866" s="4" t="s">
        <v>22</v>
      </c>
      <c r="F866" s="4" t="s">
        <v>24</v>
      </c>
      <c r="G866" s="4">
        <v>9</v>
      </c>
      <c r="H866" s="6">
        <v>55000</v>
      </c>
      <c r="I866" s="7">
        <v>0.05</v>
      </c>
    </row>
    <row r="867" spans="1:9">
      <c r="A867" s="8">
        <v>1866</v>
      </c>
      <c r="B867" s="9">
        <v>45944</v>
      </c>
      <c r="C867" s="8" t="s">
        <v>9</v>
      </c>
      <c r="D867" s="8" t="s">
        <v>10</v>
      </c>
      <c r="E867" s="8" t="s">
        <v>11</v>
      </c>
      <c r="F867" s="8" t="s">
        <v>24</v>
      </c>
      <c r="G867" s="8">
        <v>17</v>
      </c>
      <c r="H867" s="10">
        <v>18000</v>
      </c>
      <c r="I867" s="11">
        <v>0.08</v>
      </c>
    </row>
    <row r="868" spans="1:9">
      <c r="A868" s="4">
        <v>1867</v>
      </c>
      <c r="B868" s="5">
        <v>45920</v>
      </c>
      <c r="C868" s="4" t="s">
        <v>21</v>
      </c>
      <c r="D868" s="4" t="s">
        <v>10</v>
      </c>
      <c r="E868" s="4" t="s">
        <v>11</v>
      </c>
      <c r="F868" s="4" t="s">
        <v>20</v>
      </c>
      <c r="G868" s="4">
        <v>18</v>
      </c>
      <c r="H868" s="6">
        <v>14000</v>
      </c>
      <c r="I868" s="7">
        <v>0.12</v>
      </c>
    </row>
    <row r="869" spans="1:9">
      <c r="A869" s="8">
        <v>1868</v>
      </c>
      <c r="B869" s="9">
        <v>45851</v>
      </c>
      <c r="C869" s="8" t="s">
        <v>28</v>
      </c>
      <c r="D869" s="8" t="s">
        <v>26</v>
      </c>
      <c r="E869" s="8" t="s">
        <v>11</v>
      </c>
      <c r="F869" s="8" t="s">
        <v>20</v>
      </c>
      <c r="G869" s="8">
        <v>16</v>
      </c>
      <c r="H869" s="10">
        <v>9000</v>
      </c>
      <c r="I869" s="11">
        <v>0.05</v>
      </c>
    </row>
    <row r="870" spans="1:9">
      <c r="A870" s="4">
        <v>1869</v>
      </c>
      <c r="B870" s="5">
        <v>46006</v>
      </c>
      <c r="C870" s="4" t="s">
        <v>34</v>
      </c>
      <c r="D870" s="4" t="s">
        <v>26</v>
      </c>
      <c r="E870" s="4" t="s">
        <v>22</v>
      </c>
      <c r="F870" s="4" t="s">
        <v>24</v>
      </c>
      <c r="G870" s="4">
        <v>19</v>
      </c>
      <c r="H870" s="6">
        <v>15000</v>
      </c>
      <c r="I870" s="7">
        <v>0</v>
      </c>
    </row>
    <row r="871" spans="1:9">
      <c r="A871" s="8">
        <v>1870</v>
      </c>
      <c r="B871" s="9">
        <v>45790</v>
      </c>
      <c r="C871" s="8" t="s">
        <v>9</v>
      </c>
      <c r="D871" s="8" t="s">
        <v>10</v>
      </c>
      <c r="E871" s="8" t="s">
        <v>17</v>
      </c>
      <c r="F871" s="8" t="s">
        <v>12</v>
      </c>
      <c r="G871" s="8">
        <v>13</v>
      </c>
      <c r="H871" s="10">
        <v>18000</v>
      </c>
      <c r="I871" s="11">
        <v>0.15</v>
      </c>
    </row>
    <row r="872" spans="1:9">
      <c r="A872" s="4">
        <v>1871</v>
      </c>
      <c r="B872" s="5">
        <v>45819</v>
      </c>
      <c r="C872" s="4" t="s">
        <v>31</v>
      </c>
      <c r="D872" s="4" t="s">
        <v>26</v>
      </c>
      <c r="E872" s="4" t="s">
        <v>14</v>
      </c>
      <c r="F872" s="4" t="s">
        <v>27</v>
      </c>
      <c r="G872" s="4">
        <v>12</v>
      </c>
      <c r="H872" s="6">
        <v>8500</v>
      </c>
      <c r="I872" s="7">
        <v>0.12</v>
      </c>
    </row>
    <row r="873" spans="1:9">
      <c r="A873" s="8">
        <v>1872</v>
      </c>
      <c r="B873" s="9">
        <v>45785</v>
      </c>
      <c r="C873" s="8" t="s">
        <v>21</v>
      </c>
      <c r="D873" s="8" t="s">
        <v>10</v>
      </c>
      <c r="E873" s="8" t="s">
        <v>11</v>
      </c>
      <c r="F873" s="8" t="s">
        <v>24</v>
      </c>
      <c r="G873" s="8">
        <v>3</v>
      </c>
      <c r="H873" s="10">
        <v>14000</v>
      </c>
      <c r="I873" s="11">
        <v>0.1</v>
      </c>
    </row>
    <row r="874" spans="1:9">
      <c r="A874" s="4">
        <v>1873</v>
      </c>
      <c r="B874" s="5">
        <v>45941</v>
      </c>
      <c r="C874" s="4" t="s">
        <v>37</v>
      </c>
      <c r="D874" s="4" t="s">
        <v>36</v>
      </c>
      <c r="E874" s="4" t="s">
        <v>11</v>
      </c>
      <c r="F874" s="4" t="s">
        <v>23</v>
      </c>
      <c r="G874" s="4">
        <v>6</v>
      </c>
      <c r="H874" s="6">
        <v>1800</v>
      </c>
      <c r="I874" s="7">
        <v>0.1</v>
      </c>
    </row>
    <row r="875" spans="1:9">
      <c r="A875" s="8">
        <v>1874</v>
      </c>
      <c r="B875" s="9">
        <v>45769</v>
      </c>
      <c r="C875" s="8" t="s">
        <v>37</v>
      </c>
      <c r="D875" s="8" t="s">
        <v>36</v>
      </c>
      <c r="E875" s="8" t="s">
        <v>17</v>
      </c>
      <c r="F875" s="8" t="s">
        <v>12</v>
      </c>
      <c r="G875" s="8">
        <v>19</v>
      </c>
      <c r="H875" s="10">
        <v>1800</v>
      </c>
      <c r="I875" s="11">
        <v>0.08</v>
      </c>
    </row>
    <row r="876" spans="1:9">
      <c r="A876" s="4">
        <v>1875</v>
      </c>
      <c r="B876" s="5">
        <v>45913</v>
      </c>
      <c r="C876" s="4" t="s">
        <v>39</v>
      </c>
      <c r="D876" s="4" t="s">
        <v>30</v>
      </c>
      <c r="E876" s="4" t="s">
        <v>17</v>
      </c>
      <c r="F876" s="4" t="s">
        <v>27</v>
      </c>
      <c r="G876" s="4">
        <v>7</v>
      </c>
      <c r="H876" s="4">
        <v>180</v>
      </c>
      <c r="I876" s="7">
        <v>0.05</v>
      </c>
    </row>
    <row r="877" spans="1:9">
      <c r="A877" s="8">
        <v>1876</v>
      </c>
      <c r="B877" s="9">
        <v>45763</v>
      </c>
      <c r="C877" s="8" t="s">
        <v>19</v>
      </c>
      <c r="D877" s="8" t="s">
        <v>10</v>
      </c>
      <c r="E877" s="8" t="s">
        <v>11</v>
      </c>
      <c r="F877" s="8" t="s">
        <v>32</v>
      </c>
      <c r="G877" s="8">
        <v>7</v>
      </c>
      <c r="H877" s="8">
        <v>800</v>
      </c>
      <c r="I877" s="11">
        <v>0.05</v>
      </c>
    </row>
    <row r="878" spans="1:9">
      <c r="A878" s="4">
        <v>1877</v>
      </c>
      <c r="B878" s="5">
        <v>45712</v>
      </c>
      <c r="C878" s="4" t="s">
        <v>9</v>
      </c>
      <c r="D878" s="4" t="s">
        <v>10</v>
      </c>
      <c r="E878" s="4" t="s">
        <v>22</v>
      </c>
      <c r="F878" s="4" t="s">
        <v>18</v>
      </c>
      <c r="G878" s="4">
        <v>3</v>
      </c>
      <c r="H878" s="6">
        <v>18000</v>
      </c>
      <c r="I878" s="7">
        <v>0.15</v>
      </c>
    </row>
    <row r="879" spans="1:9">
      <c r="A879" s="8">
        <v>1878</v>
      </c>
      <c r="B879" s="9">
        <v>45935</v>
      </c>
      <c r="C879" s="8" t="s">
        <v>16</v>
      </c>
      <c r="D879" s="8" t="s">
        <v>10</v>
      </c>
      <c r="E879" s="8" t="s">
        <v>11</v>
      </c>
      <c r="F879" s="8" t="s">
        <v>20</v>
      </c>
      <c r="G879" s="8">
        <v>16</v>
      </c>
      <c r="H879" s="10">
        <v>55000</v>
      </c>
      <c r="I879" s="11">
        <v>0.08</v>
      </c>
    </row>
    <row r="880" spans="1:9">
      <c r="A880" s="4">
        <v>1879</v>
      </c>
      <c r="B880" s="5">
        <v>45952</v>
      </c>
      <c r="C880" s="4" t="s">
        <v>38</v>
      </c>
      <c r="D880" s="4" t="s">
        <v>10</v>
      </c>
      <c r="E880" s="4" t="s">
        <v>17</v>
      </c>
      <c r="F880" s="4" t="s">
        <v>27</v>
      </c>
      <c r="G880" s="4">
        <v>9</v>
      </c>
      <c r="H880" s="6">
        <v>42000</v>
      </c>
      <c r="I880" s="7">
        <v>0.1</v>
      </c>
    </row>
    <row r="881" spans="1:9">
      <c r="A881" s="8">
        <v>1880</v>
      </c>
      <c r="B881" s="9">
        <v>45861</v>
      </c>
      <c r="C881" s="8" t="s">
        <v>19</v>
      </c>
      <c r="D881" s="8" t="s">
        <v>10</v>
      </c>
      <c r="E881" s="8" t="s">
        <v>14</v>
      </c>
      <c r="F881" s="8" t="s">
        <v>15</v>
      </c>
      <c r="G881" s="8">
        <v>19</v>
      </c>
      <c r="H881" s="8">
        <v>800</v>
      </c>
      <c r="I881" s="11">
        <v>0.05</v>
      </c>
    </row>
    <row r="882" spans="1:9">
      <c r="A882" s="4">
        <v>1881</v>
      </c>
      <c r="B882" s="5">
        <v>45902</v>
      </c>
      <c r="C882" s="4" t="s">
        <v>25</v>
      </c>
      <c r="D882" s="4" t="s">
        <v>26</v>
      </c>
      <c r="E882" s="4" t="s">
        <v>11</v>
      </c>
      <c r="F882" s="4" t="s">
        <v>15</v>
      </c>
      <c r="G882" s="4">
        <v>2</v>
      </c>
      <c r="H882" s="6">
        <v>11000</v>
      </c>
      <c r="I882" s="7">
        <v>0.12</v>
      </c>
    </row>
    <row r="883" spans="1:9">
      <c r="A883" s="8">
        <v>1882</v>
      </c>
      <c r="B883" s="9">
        <v>46009</v>
      </c>
      <c r="C883" s="8" t="s">
        <v>35</v>
      </c>
      <c r="D883" s="8" t="s">
        <v>36</v>
      </c>
      <c r="E883" s="8" t="s">
        <v>14</v>
      </c>
      <c r="F883" s="8" t="s">
        <v>20</v>
      </c>
      <c r="G883" s="8">
        <v>6</v>
      </c>
      <c r="H883" s="10">
        <v>3500</v>
      </c>
      <c r="I883" s="11">
        <v>0.1</v>
      </c>
    </row>
    <row r="884" spans="1:9">
      <c r="A884" s="4">
        <v>1883</v>
      </c>
      <c r="B884" s="5">
        <v>45819</v>
      </c>
      <c r="C884" s="4" t="s">
        <v>39</v>
      </c>
      <c r="D884" s="4" t="s">
        <v>30</v>
      </c>
      <c r="E884" s="4" t="s">
        <v>17</v>
      </c>
      <c r="F884" s="4" t="s">
        <v>15</v>
      </c>
      <c r="G884" s="4">
        <v>1</v>
      </c>
      <c r="H884" s="4">
        <v>180</v>
      </c>
      <c r="I884" s="7">
        <v>0</v>
      </c>
    </row>
    <row r="885" spans="1:9">
      <c r="A885" s="8">
        <v>1884</v>
      </c>
      <c r="B885" s="9">
        <v>45955</v>
      </c>
      <c r="C885" s="8" t="s">
        <v>9</v>
      </c>
      <c r="D885" s="8" t="s">
        <v>10</v>
      </c>
      <c r="E885" s="8" t="s">
        <v>11</v>
      </c>
      <c r="F885" s="8" t="s">
        <v>32</v>
      </c>
      <c r="G885" s="8">
        <v>11</v>
      </c>
      <c r="H885" s="10">
        <v>18000</v>
      </c>
      <c r="I885" s="11">
        <v>0.08</v>
      </c>
    </row>
    <row r="886" spans="1:9">
      <c r="A886" s="4">
        <v>1885</v>
      </c>
      <c r="B886" s="5">
        <v>45938</v>
      </c>
      <c r="C886" s="4" t="s">
        <v>21</v>
      </c>
      <c r="D886" s="4" t="s">
        <v>10</v>
      </c>
      <c r="E886" s="4" t="s">
        <v>22</v>
      </c>
      <c r="F886" s="4" t="s">
        <v>23</v>
      </c>
      <c r="G886" s="4">
        <v>8</v>
      </c>
      <c r="H886" s="6">
        <v>14000</v>
      </c>
      <c r="I886" s="7">
        <v>0.08</v>
      </c>
    </row>
    <row r="887" spans="1:9">
      <c r="A887" s="8">
        <v>1886</v>
      </c>
      <c r="B887" s="9">
        <v>45845</v>
      </c>
      <c r="C887" s="8" t="s">
        <v>13</v>
      </c>
      <c r="D887" s="8" t="s">
        <v>10</v>
      </c>
      <c r="E887" s="8" t="s">
        <v>17</v>
      </c>
      <c r="F887" s="8" t="s">
        <v>15</v>
      </c>
      <c r="G887" s="8">
        <v>16</v>
      </c>
      <c r="H887" s="10">
        <v>1200</v>
      </c>
      <c r="I887" s="11">
        <v>0.1</v>
      </c>
    </row>
    <row r="888" spans="1:9">
      <c r="A888" s="4">
        <v>1887</v>
      </c>
      <c r="B888" s="5">
        <v>46016</v>
      </c>
      <c r="C888" s="4" t="s">
        <v>35</v>
      </c>
      <c r="D888" s="4" t="s">
        <v>36</v>
      </c>
      <c r="E888" s="4" t="s">
        <v>22</v>
      </c>
      <c r="F888" s="4" t="s">
        <v>27</v>
      </c>
      <c r="G888" s="4">
        <v>12</v>
      </c>
      <c r="H888" s="6">
        <v>3500</v>
      </c>
      <c r="I888" s="7">
        <v>0.08</v>
      </c>
    </row>
    <row r="889" spans="1:9">
      <c r="A889" s="8">
        <v>1888</v>
      </c>
      <c r="B889" s="9">
        <v>45888</v>
      </c>
      <c r="C889" s="8" t="s">
        <v>13</v>
      </c>
      <c r="D889" s="8" t="s">
        <v>10</v>
      </c>
      <c r="E889" s="8" t="s">
        <v>17</v>
      </c>
      <c r="F889" s="8" t="s">
        <v>24</v>
      </c>
      <c r="G889" s="8">
        <v>19</v>
      </c>
      <c r="H889" s="10">
        <v>1200</v>
      </c>
      <c r="I889" s="11">
        <v>0.05</v>
      </c>
    </row>
    <row r="890" spans="1:9">
      <c r="A890" s="4">
        <v>1889</v>
      </c>
      <c r="B890" s="5">
        <v>45796</v>
      </c>
      <c r="C890" s="4" t="s">
        <v>35</v>
      </c>
      <c r="D890" s="4" t="s">
        <v>36</v>
      </c>
      <c r="E890" s="4" t="s">
        <v>22</v>
      </c>
      <c r="F890" s="4" t="s">
        <v>15</v>
      </c>
      <c r="G890" s="4">
        <v>8</v>
      </c>
      <c r="H890" s="6">
        <v>3500</v>
      </c>
      <c r="I890" s="7">
        <v>0.12</v>
      </c>
    </row>
    <row r="891" spans="1:9">
      <c r="A891" s="8">
        <v>1890</v>
      </c>
      <c r="B891" s="9">
        <v>45758</v>
      </c>
      <c r="C891" s="8" t="s">
        <v>13</v>
      </c>
      <c r="D891" s="8" t="s">
        <v>10</v>
      </c>
      <c r="E891" s="8" t="s">
        <v>14</v>
      </c>
      <c r="F891" s="8" t="s">
        <v>32</v>
      </c>
      <c r="G891" s="8">
        <v>5</v>
      </c>
      <c r="H891" s="10">
        <v>1200</v>
      </c>
      <c r="I891" s="11">
        <v>0.1</v>
      </c>
    </row>
    <row r="892" spans="1:9">
      <c r="A892" s="4">
        <v>1891</v>
      </c>
      <c r="B892" s="5">
        <v>45873</v>
      </c>
      <c r="C892" s="4" t="s">
        <v>34</v>
      </c>
      <c r="D892" s="4" t="s">
        <v>26</v>
      </c>
      <c r="E892" s="4" t="s">
        <v>11</v>
      </c>
      <c r="F892" s="4" t="s">
        <v>20</v>
      </c>
      <c r="G892" s="4">
        <v>5</v>
      </c>
      <c r="H892" s="6">
        <v>15000</v>
      </c>
      <c r="I892" s="7">
        <v>0.15</v>
      </c>
    </row>
    <row r="893" spans="1:9">
      <c r="A893" s="8">
        <v>1892</v>
      </c>
      <c r="B893" s="9">
        <v>45811</v>
      </c>
      <c r="C893" s="8" t="s">
        <v>21</v>
      </c>
      <c r="D893" s="8" t="s">
        <v>10</v>
      </c>
      <c r="E893" s="8" t="s">
        <v>14</v>
      </c>
      <c r="F893" s="8" t="s">
        <v>15</v>
      </c>
      <c r="G893" s="8">
        <v>18</v>
      </c>
      <c r="H893" s="10">
        <v>14000</v>
      </c>
      <c r="I893" s="11">
        <v>0.12</v>
      </c>
    </row>
    <row r="894" spans="1:9">
      <c r="A894" s="4">
        <v>1893</v>
      </c>
      <c r="B894" s="5">
        <v>45708</v>
      </c>
      <c r="C894" s="4" t="s">
        <v>39</v>
      </c>
      <c r="D894" s="4" t="s">
        <v>30</v>
      </c>
      <c r="E894" s="4" t="s">
        <v>17</v>
      </c>
      <c r="F894" s="4" t="s">
        <v>27</v>
      </c>
      <c r="G894" s="4">
        <v>6</v>
      </c>
      <c r="H894" s="4">
        <v>180</v>
      </c>
      <c r="I894" s="7">
        <v>0</v>
      </c>
    </row>
    <row r="895" spans="1:9">
      <c r="A895" s="8">
        <v>1894</v>
      </c>
      <c r="B895" s="9">
        <v>45901</v>
      </c>
      <c r="C895" s="8" t="s">
        <v>38</v>
      </c>
      <c r="D895" s="8" t="s">
        <v>10</v>
      </c>
      <c r="E895" s="8" t="s">
        <v>11</v>
      </c>
      <c r="F895" s="8" t="s">
        <v>27</v>
      </c>
      <c r="G895" s="8">
        <v>4</v>
      </c>
      <c r="H895" s="10">
        <v>42000</v>
      </c>
      <c r="I895" s="11">
        <v>0.1</v>
      </c>
    </row>
    <row r="896" spans="1:9">
      <c r="A896" s="4">
        <v>1895</v>
      </c>
      <c r="B896" s="5">
        <v>45842</v>
      </c>
      <c r="C896" s="4" t="s">
        <v>33</v>
      </c>
      <c r="D896" s="4" t="s">
        <v>10</v>
      </c>
      <c r="E896" s="4" t="s">
        <v>11</v>
      </c>
      <c r="F896" s="4" t="s">
        <v>23</v>
      </c>
      <c r="G896" s="4">
        <v>18</v>
      </c>
      <c r="H896" s="6">
        <v>2500</v>
      </c>
      <c r="I896" s="7">
        <v>0.12</v>
      </c>
    </row>
    <row r="897" spans="1:9">
      <c r="A897" s="8">
        <v>1896</v>
      </c>
      <c r="B897" s="9">
        <v>45668</v>
      </c>
      <c r="C897" s="8" t="s">
        <v>31</v>
      </c>
      <c r="D897" s="8" t="s">
        <v>26</v>
      </c>
      <c r="E897" s="8" t="s">
        <v>17</v>
      </c>
      <c r="F897" s="8" t="s">
        <v>32</v>
      </c>
      <c r="G897" s="8">
        <v>4</v>
      </c>
      <c r="H897" s="10">
        <v>8500</v>
      </c>
      <c r="I897" s="11">
        <v>0.08</v>
      </c>
    </row>
    <row r="898" spans="1:9">
      <c r="A898" s="4">
        <v>1897</v>
      </c>
      <c r="B898" s="5">
        <v>45803</v>
      </c>
      <c r="C898" s="4" t="s">
        <v>33</v>
      </c>
      <c r="D898" s="4" t="s">
        <v>10</v>
      </c>
      <c r="E898" s="4" t="s">
        <v>22</v>
      </c>
      <c r="F898" s="4" t="s">
        <v>20</v>
      </c>
      <c r="G898" s="4">
        <v>11</v>
      </c>
      <c r="H898" s="6">
        <v>2500</v>
      </c>
      <c r="I898" s="7">
        <v>0.15</v>
      </c>
    </row>
    <row r="899" spans="1:9">
      <c r="A899" s="8">
        <v>1898</v>
      </c>
      <c r="B899" s="9">
        <v>45698</v>
      </c>
      <c r="C899" s="8" t="s">
        <v>31</v>
      </c>
      <c r="D899" s="8" t="s">
        <v>26</v>
      </c>
      <c r="E899" s="8" t="s">
        <v>22</v>
      </c>
      <c r="F899" s="8" t="s">
        <v>32</v>
      </c>
      <c r="G899" s="8">
        <v>20</v>
      </c>
      <c r="H899" s="10">
        <v>8500</v>
      </c>
      <c r="I899" s="11">
        <v>0.08</v>
      </c>
    </row>
    <row r="900" spans="1:9">
      <c r="A900" s="4">
        <v>1899</v>
      </c>
      <c r="B900" s="5">
        <v>45743</v>
      </c>
      <c r="C900" s="4" t="s">
        <v>29</v>
      </c>
      <c r="D900" s="4" t="s">
        <v>30</v>
      </c>
      <c r="E900" s="4" t="s">
        <v>22</v>
      </c>
      <c r="F900" s="4" t="s">
        <v>24</v>
      </c>
      <c r="G900" s="4">
        <v>11</v>
      </c>
      <c r="H900" s="4">
        <v>250</v>
      </c>
      <c r="I900" s="7">
        <v>0.1</v>
      </c>
    </row>
    <row r="901" spans="1:9">
      <c r="A901" s="8">
        <v>1900</v>
      </c>
      <c r="B901" s="9">
        <v>45698</v>
      </c>
      <c r="C901" s="8" t="s">
        <v>13</v>
      </c>
      <c r="D901" s="8" t="s">
        <v>10</v>
      </c>
      <c r="E901" s="8" t="s">
        <v>11</v>
      </c>
      <c r="F901" s="8" t="s">
        <v>23</v>
      </c>
      <c r="G901" s="8">
        <v>-3</v>
      </c>
      <c r="H901" s="10">
        <v>1200</v>
      </c>
      <c r="I901" s="11">
        <v>0.05</v>
      </c>
    </row>
    <row r="902" spans="1:9">
      <c r="A902" s="4">
        <v>1901</v>
      </c>
      <c r="B902" s="5">
        <v>45992</v>
      </c>
      <c r="C902" s="4" t="s">
        <v>21</v>
      </c>
      <c r="D902" s="4" t="s">
        <v>10</v>
      </c>
      <c r="E902" s="4" t="s">
        <v>22</v>
      </c>
      <c r="F902" s="4" t="s">
        <v>27</v>
      </c>
      <c r="G902" s="4">
        <v>9</v>
      </c>
      <c r="H902" s="6">
        <v>14000</v>
      </c>
      <c r="I902" s="7">
        <v>0.12</v>
      </c>
    </row>
    <row r="903" spans="1:9">
      <c r="A903" s="8">
        <v>1902</v>
      </c>
      <c r="B903" s="9">
        <v>45885</v>
      </c>
      <c r="C903" s="8" t="s">
        <v>35</v>
      </c>
      <c r="D903" s="8" t="s">
        <v>36</v>
      </c>
      <c r="E903" s="8" t="s">
        <v>22</v>
      </c>
      <c r="F903" s="8" t="s">
        <v>15</v>
      </c>
      <c r="G903" s="8">
        <v>12</v>
      </c>
      <c r="H903" s="10">
        <v>3500</v>
      </c>
      <c r="I903" s="11">
        <v>0.15</v>
      </c>
    </row>
    <row r="904" spans="1:9">
      <c r="A904" s="4">
        <v>1903</v>
      </c>
      <c r="B904" s="5">
        <v>45743</v>
      </c>
      <c r="C904" s="4" t="s">
        <v>13</v>
      </c>
      <c r="D904" s="4" t="s">
        <v>10</v>
      </c>
      <c r="E904" s="4" t="s">
        <v>17</v>
      </c>
      <c r="F904" s="4" t="s">
        <v>27</v>
      </c>
      <c r="G904" s="4">
        <v>1</v>
      </c>
      <c r="H904" s="6">
        <v>1200</v>
      </c>
      <c r="I904" s="7">
        <v>0.05</v>
      </c>
    </row>
    <row r="905" spans="1:9">
      <c r="A905" s="8">
        <v>1904</v>
      </c>
      <c r="B905" s="9">
        <v>46016</v>
      </c>
      <c r="C905" s="8" t="s">
        <v>39</v>
      </c>
      <c r="D905" s="8" t="s">
        <v>30</v>
      </c>
      <c r="E905" s="8" t="s">
        <v>17</v>
      </c>
      <c r="F905" s="8" t="s">
        <v>15</v>
      </c>
      <c r="G905" s="8">
        <v>3</v>
      </c>
      <c r="H905" s="8">
        <v>180</v>
      </c>
      <c r="I905" s="11">
        <v>0.05</v>
      </c>
    </row>
    <row r="906" spans="1:9">
      <c r="A906" s="4">
        <v>1905</v>
      </c>
      <c r="B906" s="5">
        <v>45710</v>
      </c>
      <c r="C906" s="4" t="s">
        <v>9</v>
      </c>
      <c r="D906" s="4" t="s">
        <v>10</v>
      </c>
      <c r="E906" s="4" t="s">
        <v>14</v>
      </c>
      <c r="F906" s="4" t="s">
        <v>18</v>
      </c>
      <c r="G906" s="4">
        <v>3</v>
      </c>
      <c r="H906" s="6">
        <v>18000</v>
      </c>
      <c r="I906" s="7">
        <v>0.1</v>
      </c>
    </row>
    <row r="907" spans="1:9">
      <c r="A907" s="8">
        <v>1906</v>
      </c>
      <c r="B907" s="9">
        <v>45861</v>
      </c>
      <c r="C907" s="8" t="s">
        <v>25</v>
      </c>
      <c r="D907" s="8" t="s">
        <v>26</v>
      </c>
      <c r="E907" s="8" t="s">
        <v>11</v>
      </c>
      <c r="F907" s="8" t="s">
        <v>32</v>
      </c>
      <c r="G907" s="8">
        <v>3</v>
      </c>
      <c r="H907" s="10">
        <v>11000</v>
      </c>
      <c r="I907" s="11">
        <v>0</v>
      </c>
    </row>
    <row r="908" spans="1:9">
      <c r="A908" s="4">
        <v>1907</v>
      </c>
      <c r="B908" s="5">
        <v>45701</v>
      </c>
      <c r="C908" s="4" t="s">
        <v>29</v>
      </c>
      <c r="D908" s="4" t="s">
        <v>30</v>
      </c>
      <c r="E908" s="4" t="s">
        <v>17</v>
      </c>
      <c r="F908" s="4" t="s">
        <v>12</v>
      </c>
      <c r="G908" s="4">
        <v>13</v>
      </c>
      <c r="H908" s="4">
        <v>250</v>
      </c>
      <c r="I908" s="7">
        <v>0.08</v>
      </c>
    </row>
    <row r="909" spans="1:9">
      <c r="A909" s="8">
        <v>1908</v>
      </c>
      <c r="B909" s="9">
        <v>45803</v>
      </c>
      <c r="C909" s="8" t="s">
        <v>34</v>
      </c>
      <c r="D909" s="8" t="s">
        <v>26</v>
      </c>
      <c r="E909" s="8" t="s">
        <v>17</v>
      </c>
      <c r="F909" s="8" t="s">
        <v>18</v>
      </c>
      <c r="G909" s="8">
        <v>5</v>
      </c>
      <c r="H909" s="10">
        <v>15000</v>
      </c>
      <c r="I909" s="11">
        <v>0.05</v>
      </c>
    </row>
    <row r="910" spans="1:9">
      <c r="A910" s="4">
        <v>1909</v>
      </c>
      <c r="B910" s="5">
        <v>45675</v>
      </c>
      <c r="C910" s="4" t="s">
        <v>29</v>
      </c>
      <c r="D910" s="4" t="s">
        <v>30</v>
      </c>
      <c r="E910" s="4" t="s">
        <v>22</v>
      </c>
      <c r="F910" s="4" t="s">
        <v>20</v>
      </c>
      <c r="G910" s="4">
        <v>12</v>
      </c>
      <c r="H910" s="4">
        <v>250</v>
      </c>
      <c r="I910" s="7">
        <v>0.08</v>
      </c>
    </row>
    <row r="911" spans="1:9">
      <c r="A911" s="8">
        <v>1910</v>
      </c>
      <c r="B911" s="9">
        <v>45934</v>
      </c>
      <c r="C911" s="8" t="s">
        <v>37</v>
      </c>
      <c r="D911" s="8" t="s">
        <v>36</v>
      </c>
      <c r="E911" s="8" t="s">
        <v>22</v>
      </c>
      <c r="F911" s="8" t="s">
        <v>32</v>
      </c>
      <c r="G911" s="8">
        <v>9</v>
      </c>
      <c r="H911" s="10">
        <v>1800</v>
      </c>
      <c r="I911" s="11">
        <v>0.12</v>
      </c>
    </row>
    <row r="912" spans="1:9">
      <c r="A912" s="4">
        <v>1911</v>
      </c>
      <c r="B912" s="5">
        <v>46015</v>
      </c>
      <c r="C912" s="4" t="s">
        <v>25</v>
      </c>
      <c r="D912" s="4" t="s">
        <v>26</v>
      </c>
      <c r="E912" s="4" t="s">
        <v>22</v>
      </c>
      <c r="F912" s="4" t="s">
        <v>15</v>
      </c>
      <c r="G912" s="4">
        <v>6</v>
      </c>
      <c r="H912" s="6">
        <v>11000</v>
      </c>
      <c r="I912" s="7">
        <v>0.12</v>
      </c>
    </row>
    <row r="913" spans="1:9">
      <c r="A913" s="8">
        <v>1912</v>
      </c>
      <c r="B913" s="9">
        <v>45926</v>
      </c>
      <c r="C913" s="8" t="s">
        <v>29</v>
      </c>
      <c r="D913" s="8" t="s">
        <v>30</v>
      </c>
      <c r="E913" s="8" t="s">
        <v>11</v>
      </c>
      <c r="F913" s="8" t="s">
        <v>20</v>
      </c>
      <c r="G913" s="8">
        <v>18</v>
      </c>
      <c r="H913" s="8">
        <v>250</v>
      </c>
      <c r="I913" s="11">
        <v>0.08</v>
      </c>
    </row>
    <row r="914" spans="1:9">
      <c r="A914" s="4">
        <v>1913</v>
      </c>
      <c r="B914" s="5">
        <v>45934</v>
      </c>
      <c r="C914" s="4" t="s">
        <v>19</v>
      </c>
      <c r="D914" s="4" t="s">
        <v>10</v>
      </c>
      <c r="E914" s="4" t="s">
        <v>11</v>
      </c>
      <c r="F914" s="4" t="s">
        <v>23</v>
      </c>
      <c r="G914" s="4">
        <v>3</v>
      </c>
      <c r="H914" s="4">
        <v>800</v>
      </c>
      <c r="I914" s="7">
        <v>0.1</v>
      </c>
    </row>
    <row r="915" spans="1:9">
      <c r="A915" s="8">
        <v>1914</v>
      </c>
      <c r="B915" s="9">
        <v>45869</v>
      </c>
      <c r="C915" s="8" t="s">
        <v>21</v>
      </c>
      <c r="D915" s="8" t="s">
        <v>10</v>
      </c>
      <c r="E915" s="8" t="s">
        <v>14</v>
      </c>
      <c r="F915" s="8" t="s">
        <v>18</v>
      </c>
      <c r="G915" s="8">
        <v>5</v>
      </c>
      <c r="H915" s="10">
        <v>14000</v>
      </c>
      <c r="I915" s="11">
        <v>0.08</v>
      </c>
    </row>
    <row r="916" spans="1:9">
      <c r="A916" s="4">
        <v>1915</v>
      </c>
      <c r="B916" s="5">
        <v>45925</v>
      </c>
      <c r="C916" s="4" t="s">
        <v>38</v>
      </c>
      <c r="D916" s="4" t="s">
        <v>10</v>
      </c>
      <c r="E916" s="4" t="s">
        <v>11</v>
      </c>
      <c r="F916" s="4" t="s">
        <v>20</v>
      </c>
      <c r="G916" s="4">
        <v>5</v>
      </c>
      <c r="H916" s="6">
        <v>42000</v>
      </c>
      <c r="I916" s="7">
        <v>0.08</v>
      </c>
    </row>
    <row r="917" spans="1:9">
      <c r="A917" s="8">
        <v>1916</v>
      </c>
      <c r="B917" s="9">
        <v>45931</v>
      </c>
      <c r="C917" s="8" t="s">
        <v>16</v>
      </c>
      <c r="D917" s="8" t="s">
        <v>10</v>
      </c>
      <c r="E917" s="8" t="s">
        <v>11</v>
      </c>
      <c r="F917" s="8" t="s">
        <v>18</v>
      </c>
      <c r="G917" s="8">
        <v>16</v>
      </c>
      <c r="H917" s="10">
        <v>55000</v>
      </c>
      <c r="I917" s="11">
        <v>0.1</v>
      </c>
    </row>
    <row r="918" spans="1:9">
      <c r="A918" s="4">
        <v>1917</v>
      </c>
      <c r="B918" s="5">
        <v>45878</v>
      </c>
      <c r="C918" s="4" t="s">
        <v>35</v>
      </c>
      <c r="D918" s="4" t="s">
        <v>36</v>
      </c>
      <c r="E918" s="4" t="s">
        <v>17</v>
      </c>
      <c r="F918" s="4" t="s">
        <v>18</v>
      </c>
      <c r="G918" s="4">
        <v>10</v>
      </c>
      <c r="H918" s="6">
        <v>3500</v>
      </c>
      <c r="I918" s="7">
        <v>0.12</v>
      </c>
    </row>
    <row r="919" spans="1:9">
      <c r="A919" s="8">
        <v>1918</v>
      </c>
      <c r="B919" s="9">
        <v>45938</v>
      </c>
      <c r="C919" s="8" t="s">
        <v>33</v>
      </c>
      <c r="D919" s="8" t="s">
        <v>10</v>
      </c>
      <c r="E919" s="8" t="s">
        <v>22</v>
      </c>
      <c r="F919" s="8" t="s">
        <v>15</v>
      </c>
      <c r="G919" s="8">
        <v>7</v>
      </c>
      <c r="H919" s="10">
        <v>2500</v>
      </c>
      <c r="I919" s="11">
        <v>0.1</v>
      </c>
    </row>
    <row r="920" spans="1:9">
      <c r="A920" s="4">
        <v>1919</v>
      </c>
      <c r="B920" s="5">
        <v>45785</v>
      </c>
      <c r="C920" s="4" t="s">
        <v>13</v>
      </c>
      <c r="D920" s="4" t="s">
        <v>10</v>
      </c>
      <c r="E920" s="4" t="s">
        <v>17</v>
      </c>
      <c r="F920" s="4" t="s">
        <v>27</v>
      </c>
      <c r="G920" s="4">
        <v>13</v>
      </c>
      <c r="H920" s="6">
        <v>1200</v>
      </c>
      <c r="I920" s="7">
        <v>0.1</v>
      </c>
    </row>
    <row r="921" spans="1:9">
      <c r="A921" s="8">
        <v>1920</v>
      </c>
      <c r="B921" s="9">
        <v>45698</v>
      </c>
      <c r="C921" s="8" t="s">
        <v>31</v>
      </c>
      <c r="D921" s="8" t="s">
        <v>26</v>
      </c>
      <c r="E921" s="8" t="s">
        <v>11</v>
      </c>
      <c r="F921" s="8" t="s">
        <v>27</v>
      </c>
      <c r="G921" s="8">
        <v>8</v>
      </c>
      <c r="H921" s="10">
        <v>8500</v>
      </c>
      <c r="I921" s="11">
        <v>0.12</v>
      </c>
    </row>
    <row r="922" spans="1:9">
      <c r="A922" s="4">
        <v>1921</v>
      </c>
      <c r="B922" s="5">
        <v>45990</v>
      </c>
      <c r="C922" s="4" t="s">
        <v>39</v>
      </c>
      <c r="D922" s="4" t="s">
        <v>30</v>
      </c>
      <c r="E922" s="4" t="s">
        <v>22</v>
      </c>
      <c r="F922" s="4" t="s">
        <v>12</v>
      </c>
      <c r="G922" s="4">
        <v>18</v>
      </c>
      <c r="H922" s="4">
        <v>180</v>
      </c>
      <c r="I922" s="7">
        <v>0.08</v>
      </c>
    </row>
    <row r="923" spans="1:9">
      <c r="A923" s="8">
        <v>1922</v>
      </c>
      <c r="B923" s="9">
        <v>45693</v>
      </c>
      <c r="C923" s="8" t="s">
        <v>13</v>
      </c>
      <c r="D923" s="8" t="s">
        <v>10</v>
      </c>
      <c r="E923" s="8" t="s">
        <v>14</v>
      </c>
      <c r="F923" s="8" t="s">
        <v>20</v>
      </c>
      <c r="G923" s="8">
        <v>5</v>
      </c>
      <c r="H923" s="10">
        <v>1200</v>
      </c>
      <c r="I923" s="11">
        <v>0.08</v>
      </c>
    </row>
    <row r="924" spans="1:9">
      <c r="A924" s="4">
        <v>1923</v>
      </c>
      <c r="B924" s="5">
        <v>45974</v>
      </c>
      <c r="C924" s="4" t="s">
        <v>34</v>
      </c>
      <c r="D924" s="4" t="s">
        <v>26</v>
      </c>
      <c r="E924" s="4" t="s">
        <v>22</v>
      </c>
      <c r="F924" s="4" t="s">
        <v>12</v>
      </c>
      <c r="G924" s="4">
        <v>9</v>
      </c>
      <c r="H924" s="6">
        <v>15000</v>
      </c>
      <c r="I924" s="7">
        <v>0.15</v>
      </c>
    </row>
    <row r="925" spans="1:9">
      <c r="A925" s="8">
        <v>1924</v>
      </c>
      <c r="B925" s="9">
        <v>45822</v>
      </c>
      <c r="C925" s="8" t="s">
        <v>16</v>
      </c>
      <c r="D925" s="8" t="s">
        <v>10</v>
      </c>
      <c r="E925" s="8" t="s">
        <v>14</v>
      </c>
      <c r="F925" s="8" t="s">
        <v>32</v>
      </c>
      <c r="G925" s="8">
        <v>5</v>
      </c>
      <c r="H925" s="10">
        <v>55000</v>
      </c>
      <c r="I925" s="11">
        <v>0</v>
      </c>
    </row>
    <row r="926" spans="1:9">
      <c r="A926" s="4">
        <v>1925</v>
      </c>
      <c r="B926" s="5">
        <v>45710</v>
      </c>
      <c r="C926" s="4" t="s">
        <v>21</v>
      </c>
      <c r="D926" s="4" t="s">
        <v>10</v>
      </c>
      <c r="E926" s="4" t="s">
        <v>22</v>
      </c>
      <c r="F926" s="4" t="s">
        <v>18</v>
      </c>
      <c r="G926" s="4">
        <v>9</v>
      </c>
      <c r="H926" s="6">
        <v>14000</v>
      </c>
      <c r="I926" s="7">
        <v>0.05</v>
      </c>
    </row>
    <row r="927" spans="1:9">
      <c r="A927" s="8">
        <v>1926</v>
      </c>
      <c r="B927" s="9">
        <v>45777</v>
      </c>
      <c r="C927" s="8" t="s">
        <v>9</v>
      </c>
      <c r="D927" s="8" t="s">
        <v>10</v>
      </c>
      <c r="E927" s="8" t="s">
        <v>22</v>
      </c>
      <c r="F927" s="8" t="s">
        <v>12</v>
      </c>
      <c r="G927" s="8">
        <v>5</v>
      </c>
      <c r="H927" s="10">
        <v>18000</v>
      </c>
      <c r="I927" s="11">
        <v>0</v>
      </c>
    </row>
    <row r="928" spans="1:9">
      <c r="A928" s="4">
        <v>1927</v>
      </c>
      <c r="B928" s="5">
        <v>45833</v>
      </c>
      <c r="C928" s="4" t="s">
        <v>31</v>
      </c>
      <c r="D928" s="4" t="s">
        <v>26</v>
      </c>
      <c r="E928" s="4" t="s">
        <v>11</v>
      </c>
      <c r="F928" s="4" t="s">
        <v>20</v>
      </c>
      <c r="G928" s="4">
        <v>10</v>
      </c>
      <c r="H928" s="6">
        <v>8500</v>
      </c>
      <c r="I928" s="7">
        <v>0.1</v>
      </c>
    </row>
    <row r="929" spans="1:9">
      <c r="A929" s="8">
        <v>1928</v>
      </c>
      <c r="B929" s="9">
        <v>46014</v>
      </c>
      <c r="C929" s="8" t="s">
        <v>35</v>
      </c>
      <c r="D929" s="8" t="s">
        <v>36</v>
      </c>
      <c r="E929" s="8" t="s">
        <v>14</v>
      </c>
      <c r="F929" s="8" t="s">
        <v>32</v>
      </c>
      <c r="G929" s="8">
        <v>2</v>
      </c>
      <c r="H929" s="10">
        <v>3500</v>
      </c>
      <c r="I929" s="11">
        <v>0.08</v>
      </c>
    </row>
    <row r="930" spans="1:9">
      <c r="A930" s="4">
        <v>1929</v>
      </c>
      <c r="B930" s="5">
        <v>45686</v>
      </c>
      <c r="C930" s="4" t="s">
        <v>21</v>
      </c>
      <c r="D930" s="4" t="s">
        <v>10</v>
      </c>
      <c r="E930" s="4" t="s">
        <v>22</v>
      </c>
      <c r="F930" s="4" t="s">
        <v>32</v>
      </c>
      <c r="G930" s="4">
        <v>13</v>
      </c>
      <c r="H930" s="6">
        <v>14000</v>
      </c>
      <c r="I930" s="7">
        <v>0</v>
      </c>
    </row>
    <row r="931" spans="1:9">
      <c r="A931" s="8">
        <v>1930</v>
      </c>
      <c r="B931" s="9">
        <v>45756</v>
      </c>
      <c r="C931" s="8" t="s">
        <v>37</v>
      </c>
      <c r="D931" s="8" t="s">
        <v>36</v>
      </c>
      <c r="E931" s="8" t="s">
        <v>14</v>
      </c>
      <c r="F931" s="8" t="s">
        <v>24</v>
      </c>
      <c r="G931" s="8">
        <v>9</v>
      </c>
      <c r="H931" s="10">
        <v>1800</v>
      </c>
      <c r="I931" s="11">
        <v>0.1</v>
      </c>
    </row>
    <row r="932" spans="1:9">
      <c r="A932" s="4">
        <v>1931</v>
      </c>
      <c r="B932" s="5">
        <v>45785</v>
      </c>
      <c r="C932" s="4" t="s">
        <v>31</v>
      </c>
      <c r="D932" s="4" t="s">
        <v>26</v>
      </c>
      <c r="E932" s="4" t="s">
        <v>14</v>
      </c>
      <c r="F932" s="4" t="s">
        <v>12</v>
      </c>
      <c r="G932" s="4">
        <v>15</v>
      </c>
      <c r="H932" s="6">
        <v>8500</v>
      </c>
      <c r="I932" s="7">
        <v>0.05</v>
      </c>
    </row>
    <row r="933" spans="1:9">
      <c r="A933" s="8">
        <v>1932</v>
      </c>
      <c r="B933" s="9">
        <v>45893</v>
      </c>
      <c r="C933" s="8" t="s">
        <v>39</v>
      </c>
      <c r="D933" s="8" t="s">
        <v>30</v>
      </c>
      <c r="E933" s="8" t="s">
        <v>17</v>
      </c>
      <c r="F933" s="8" t="s">
        <v>20</v>
      </c>
      <c r="G933" s="8">
        <v>4</v>
      </c>
      <c r="H933" s="8">
        <v>180</v>
      </c>
      <c r="I933" s="11">
        <v>0.12</v>
      </c>
    </row>
    <row r="934" spans="1:9">
      <c r="A934" s="4">
        <v>1933</v>
      </c>
      <c r="B934" s="5">
        <v>45857</v>
      </c>
      <c r="C934" s="4" t="s">
        <v>29</v>
      </c>
      <c r="D934" s="4" t="s">
        <v>30</v>
      </c>
      <c r="E934" s="4" t="s">
        <v>17</v>
      </c>
      <c r="F934" s="4" t="s">
        <v>18</v>
      </c>
      <c r="G934" s="4">
        <v>10</v>
      </c>
      <c r="H934" s="4">
        <v>250</v>
      </c>
      <c r="I934" s="7">
        <v>0.08</v>
      </c>
    </row>
    <row r="935" spans="1:9">
      <c r="A935" s="8">
        <v>1934</v>
      </c>
      <c r="B935" s="9">
        <v>45939</v>
      </c>
      <c r="C935" s="8" t="s">
        <v>25</v>
      </c>
      <c r="D935" s="8" t="s">
        <v>26</v>
      </c>
      <c r="E935" s="8" t="s">
        <v>22</v>
      </c>
      <c r="F935" s="8" t="s">
        <v>27</v>
      </c>
      <c r="G935" s="8">
        <v>4</v>
      </c>
      <c r="H935" s="10">
        <v>11000</v>
      </c>
      <c r="I935" s="11">
        <v>0.08</v>
      </c>
    </row>
    <row r="936" spans="1:9">
      <c r="A936" s="4">
        <v>1935</v>
      </c>
      <c r="B936" s="5">
        <v>45759</v>
      </c>
      <c r="C936" s="4" t="s">
        <v>33</v>
      </c>
      <c r="D936" s="4" t="s">
        <v>10</v>
      </c>
      <c r="E936" s="4" t="s">
        <v>17</v>
      </c>
      <c r="F936" s="4" t="s">
        <v>24</v>
      </c>
      <c r="G936" s="4">
        <v>2</v>
      </c>
      <c r="H936" s="6">
        <v>2500</v>
      </c>
      <c r="I936" s="7">
        <v>0.15</v>
      </c>
    </row>
    <row r="937" spans="1:9">
      <c r="A937" s="8">
        <v>1936</v>
      </c>
      <c r="B937" s="9">
        <v>45778</v>
      </c>
      <c r="C937" s="8" t="s">
        <v>29</v>
      </c>
      <c r="D937" s="8" t="s">
        <v>30</v>
      </c>
      <c r="E937" s="8" t="s">
        <v>14</v>
      </c>
      <c r="F937" s="8" t="s">
        <v>32</v>
      </c>
      <c r="G937" s="8">
        <v>14</v>
      </c>
      <c r="H937" s="8">
        <v>250</v>
      </c>
      <c r="I937" s="11">
        <v>0.08</v>
      </c>
    </row>
    <row r="938" spans="1:9">
      <c r="A938" s="4">
        <v>1937</v>
      </c>
      <c r="B938" s="5">
        <v>45799</v>
      </c>
      <c r="C938" s="4" t="s">
        <v>28</v>
      </c>
      <c r="D938" s="4" t="s">
        <v>26</v>
      </c>
      <c r="E938" s="4" t="s">
        <v>17</v>
      </c>
      <c r="F938" s="4" t="s">
        <v>18</v>
      </c>
      <c r="G938" s="4">
        <v>4</v>
      </c>
      <c r="H938" s="6">
        <v>9000</v>
      </c>
      <c r="I938" s="7">
        <v>0.1</v>
      </c>
    </row>
    <row r="939" spans="1:9">
      <c r="A939" s="8">
        <v>1938</v>
      </c>
      <c r="B939" s="9">
        <v>45679</v>
      </c>
      <c r="C939" s="8" t="s">
        <v>28</v>
      </c>
      <c r="D939" s="8" t="s">
        <v>26</v>
      </c>
      <c r="E939" s="8" t="s">
        <v>17</v>
      </c>
      <c r="F939" s="8" t="s">
        <v>23</v>
      </c>
      <c r="G939" s="8">
        <v>16</v>
      </c>
      <c r="H939" s="10">
        <v>9000</v>
      </c>
      <c r="I939" s="11">
        <v>0.15</v>
      </c>
    </row>
    <row r="940" spans="1:9">
      <c r="A940" s="4">
        <v>1939</v>
      </c>
      <c r="B940" s="5">
        <v>45703</v>
      </c>
      <c r="C940" s="4" t="s">
        <v>19</v>
      </c>
      <c r="D940" s="4" t="s">
        <v>10</v>
      </c>
      <c r="E940" s="4" t="s">
        <v>14</v>
      </c>
      <c r="F940" s="4" t="s">
        <v>23</v>
      </c>
      <c r="G940" s="4">
        <v>6</v>
      </c>
      <c r="H940" s="4">
        <v>800</v>
      </c>
      <c r="I940" s="7">
        <v>0.1</v>
      </c>
    </row>
    <row r="941" spans="1:9">
      <c r="A941" s="8">
        <v>1940</v>
      </c>
      <c r="B941" s="9">
        <v>45978</v>
      </c>
      <c r="C941" s="8" t="s">
        <v>16</v>
      </c>
      <c r="D941" s="8" t="s">
        <v>10</v>
      </c>
      <c r="E941" s="8" t="s">
        <v>17</v>
      </c>
      <c r="F941" s="8" t="s">
        <v>24</v>
      </c>
      <c r="G941" s="8">
        <v>2</v>
      </c>
      <c r="H941" s="10">
        <v>55000</v>
      </c>
      <c r="I941" s="11">
        <v>0.08</v>
      </c>
    </row>
    <row r="942" spans="1:9">
      <c r="A942" s="4">
        <v>1941</v>
      </c>
      <c r="B942" s="5">
        <v>45722</v>
      </c>
      <c r="C942" s="4" t="s">
        <v>34</v>
      </c>
      <c r="D942" s="4" t="s">
        <v>26</v>
      </c>
      <c r="E942" s="4" t="s">
        <v>11</v>
      </c>
      <c r="F942" s="4" t="s">
        <v>20</v>
      </c>
      <c r="G942" s="4">
        <v>8</v>
      </c>
      <c r="H942" s="6">
        <v>15000</v>
      </c>
      <c r="I942" s="7">
        <v>0.08</v>
      </c>
    </row>
    <row r="943" spans="1:9">
      <c r="A943" s="8">
        <v>1942</v>
      </c>
      <c r="B943" s="9">
        <v>45756</v>
      </c>
      <c r="C943" s="8" t="s">
        <v>16</v>
      </c>
      <c r="D943" s="8" t="s">
        <v>10</v>
      </c>
      <c r="E943" s="8" t="s">
        <v>17</v>
      </c>
      <c r="F943" s="8" t="s">
        <v>27</v>
      </c>
      <c r="G943" s="8">
        <v>13</v>
      </c>
      <c r="H943" s="10">
        <v>55000</v>
      </c>
      <c r="I943" s="11">
        <v>0.08</v>
      </c>
    </row>
    <row r="944" spans="1:9">
      <c r="A944" s="4">
        <v>1943</v>
      </c>
      <c r="B944" s="5">
        <v>45678</v>
      </c>
      <c r="C944" s="4" t="s">
        <v>34</v>
      </c>
      <c r="D944" s="4" t="s">
        <v>26</v>
      </c>
      <c r="E944" s="4" t="s">
        <v>11</v>
      </c>
      <c r="F944" s="4" t="s">
        <v>20</v>
      </c>
      <c r="G944" s="4">
        <v>15</v>
      </c>
      <c r="H944" s="6">
        <v>15000</v>
      </c>
      <c r="I944" s="7">
        <v>0.12</v>
      </c>
    </row>
    <row r="945" spans="1:9">
      <c r="A945" s="8">
        <v>1944</v>
      </c>
      <c r="B945" s="9">
        <v>45755</v>
      </c>
      <c r="C945" s="8" t="s">
        <v>28</v>
      </c>
      <c r="D945" s="8" t="s">
        <v>26</v>
      </c>
      <c r="E945" s="8" t="s">
        <v>11</v>
      </c>
      <c r="F945" s="8" t="s">
        <v>23</v>
      </c>
      <c r="G945" s="8">
        <v>6</v>
      </c>
      <c r="H945" s="10">
        <v>9000</v>
      </c>
      <c r="I945" s="11">
        <v>0.12</v>
      </c>
    </row>
    <row r="946" spans="1:9">
      <c r="A946" s="4">
        <v>1945</v>
      </c>
      <c r="B946" s="5">
        <v>45897</v>
      </c>
      <c r="C946" s="4" t="s">
        <v>21</v>
      </c>
      <c r="D946" s="4" t="s">
        <v>10</v>
      </c>
      <c r="E946" s="4" t="s">
        <v>17</v>
      </c>
      <c r="F946" s="4" t="s">
        <v>24</v>
      </c>
      <c r="G946" s="4">
        <v>20</v>
      </c>
      <c r="H946" s="6">
        <v>14000</v>
      </c>
      <c r="I946" s="7">
        <v>0.12</v>
      </c>
    </row>
    <row r="947" spans="1:9">
      <c r="A947" s="8">
        <v>1946</v>
      </c>
      <c r="B947" s="9">
        <v>45929</v>
      </c>
      <c r="C947" s="8" t="s">
        <v>13</v>
      </c>
      <c r="D947" s="8" t="s">
        <v>10</v>
      </c>
      <c r="E947" s="8" t="s">
        <v>11</v>
      </c>
      <c r="F947" s="8" t="s">
        <v>23</v>
      </c>
      <c r="G947" s="8">
        <v>15</v>
      </c>
      <c r="H947" s="10">
        <v>1200</v>
      </c>
      <c r="I947" s="11">
        <v>0.08</v>
      </c>
    </row>
    <row r="948" spans="1:9">
      <c r="A948" s="4">
        <v>1947</v>
      </c>
      <c r="B948" s="5">
        <v>45890</v>
      </c>
      <c r="C948" s="4" t="s">
        <v>16</v>
      </c>
      <c r="D948" s="4" t="s">
        <v>10</v>
      </c>
      <c r="E948" s="4" t="s">
        <v>17</v>
      </c>
      <c r="F948" s="4" t="s">
        <v>18</v>
      </c>
      <c r="G948" s="4">
        <v>17</v>
      </c>
      <c r="H948" s="6">
        <v>55000</v>
      </c>
      <c r="I948" s="7">
        <v>0.1</v>
      </c>
    </row>
    <row r="949" spans="1:9">
      <c r="A949" s="8">
        <v>1948</v>
      </c>
      <c r="B949" s="9">
        <v>45975</v>
      </c>
      <c r="C949" s="8" t="s">
        <v>38</v>
      </c>
      <c r="D949" s="8" t="s">
        <v>10</v>
      </c>
      <c r="E949" s="8" t="s">
        <v>17</v>
      </c>
      <c r="F949" s="8" t="s">
        <v>23</v>
      </c>
      <c r="G949" s="8">
        <v>12</v>
      </c>
      <c r="H949" s="10">
        <v>42000</v>
      </c>
      <c r="I949" s="11">
        <v>0.12</v>
      </c>
    </row>
    <row r="950" spans="1:9">
      <c r="A950" s="4">
        <v>1949</v>
      </c>
      <c r="B950" s="5">
        <v>45690</v>
      </c>
      <c r="C950" s="4" t="s">
        <v>29</v>
      </c>
      <c r="D950" s="4" t="s">
        <v>30</v>
      </c>
      <c r="E950" s="4" t="s">
        <v>17</v>
      </c>
      <c r="F950" s="4" t="s">
        <v>20</v>
      </c>
      <c r="G950" s="4">
        <v>18</v>
      </c>
      <c r="H950" s="4">
        <v>250</v>
      </c>
      <c r="I950" s="7">
        <v>0.1</v>
      </c>
    </row>
    <row r="951" spans="1:9">
      <c r="A951" s="8">
        <v>1950</v>
      </c>
      <c r="B951" s="9">
        <v>45463</v>
      </c>
      <c r="C951" s="8" t="s">
        <v>13</v>
      </c>
      <c r="D951" s="8" t="s">
        <v>10</v>
      </c>
      <c r="E951" s="8" t="s">
        <v>11</v>
      </c>
      <c r="F951" s="8" t="s">
        <v>15</v>
      </c>
      <c r="G951" s="8">
        <v>20</v>
      </c>
      <c r="H951" s="10">
        <v>1200</v>
      </c>
      <c r="I951" s="11">
        <v>0.08</v>
      </c>
    </row>
    <row r="952" spans="1:9">
      <c r="A952" s="4">
        <v>1951</v>
      </c>
      <c r="B952" s="5">
        <v>45986</v>
      </c>
      <c r="C952" s="4" t="s">
        <v>33</v>
      </c>
      <c r="D952" s="4" t="s">
        <v>10</v>
      </c>
      <c r="E952" s="4" t="s">
        <v>14</v>
      </c>
      <c r="F952" s="4" t="s">
        <v>18</v>
      </c>
      <c r="G952" s="4">
        <v>4</v>
      </c>
      <c r="H952" s="6">
        <v>2500</v>
      </c>
      <c r="I952" s="7">
        <v>0</v>
      </c>
    </row>
    <row r="953" spans="1:9">
      <c r="A953" s="8">
        <v>1952</v>
      </c>
      <c r="B953" s="9">
        <v>45724</v>
      </c>
      <c r="C953" s="8" t="s">
        <v>13</v>
      </c>
      <c r="D953" s="8" t="s">
        <v>10</v>
      </c>
      <c r="E953" s="8" t="s">
        <v>14</v>
      </c>
      <c r="F953" s="8" t="s">
        <v>20</v>
      </c>
      <c r="G953" s="8">
        <v>2</v>
      </c>
      <c r="H953" s="10">
        <v>1200</v>
      </c>
      <c r="I953" s="11">
        <v>0.05</v>
      </c>
    </row>
    <row r="954" spans="1:9">
      <c r="A954" s="4">
        <v>1953</v>
      </c>
      <c r="B954" s="5">
        <v>45756</v>
      </c>
      <c r="C954" s="4" t="s">
        <v>9</v>
      </c>
      <c r="D954" s="4" t="s">
        <v>10</v>
      </c>
      <c r="E954" s="4" t="s">
        <v>22</v>
      </c>
      <c r="F954" s="4" t="s">
        <v>20</v>
      </c>
      <c r="G954" s="4">
        <v>2</v>
      </c>
      <c r="H954" s="6">
        <v>18000</v>
      </c>
      <c r="I954" s="7">
        <v>0.12</v>
      </c>
    </row>
    <row r="955" spans="1:9">
      <c r="A955" s="8">
        <v>1954</v>
      </c>
      <c r="B955" s="9">
        <v>45927</v>
      </c>
      <c r="C955" s="8" t="s">
        <v>28</v>
      </c>
      <c r="D955" s="8" t="s">
        <v>26</v>
      </c>
      <c r="E955" s="8" t="s">
        <v>14</v>
      </c>
      <c r="F955" s="8" t="s">
        <v>23</v>
      </c>
      <c r="G955" s="8">
        <v>19</v>
      </c>
      <c r="H955" s="10">
        <v>9000</v>
      </c>
      <c r="I955" s="11">
        <v>0.08</v>
      </c>
    </row>
    <row r="956" spans="1:9">
      <c r="A956" s="4">
        <v>1955</v>
      </c>
      <c r="B956" s="5">
        <v>45771</v>
      </c>
      <c r="C956" s="4" t="s">
        <v>28</v>
      </c>
      <c r="D956" s="4" t="s">
        <v>26</v>
      </c>
      <c r="E956" s="4" t="s">
        <v>17</v>
      </c>
      <c r="F956" s="4" t="s">
        <v>20</v>
      </c>
      <c r="G956" s="4">
        <v>3</v>
      </c>
      <c r="H956" s="6">
        <v>9000</v>
      </c>
      <c r="I956" s="7">
        <v>0</v>
      </c>
    </row>
    <row r="957" spans="1:9">
      <c r="A957" s="8">
        <v>1956</v>
      </c>
      <c r="B957" s="9">
        <v>45698</v>
      </c>
      <c r="C957" s="8" t="s">
        <v>34</v>
      </c>
      <c r="D957" s="8" t="s">
        <v>26</v>
      </c>
      <c r="E957" s="8" t="s">
        <v>22</v>
      </c>
      <c r="F957" s="8" t="s">
        <v>23</v>
      </c>
      <c r="G957" s="8">
        <v>2</v>
      </c>
      <c r="H957" s="10">
        <v>15000</v>
      </c>
      <c r="I957" s="11">
        <v>0.08</v>
      </c>
    </row>
    <row r="958" spans="1:9">
      <c r="A958" s="4">
        <v>1957</v>
      </c>
      <c r="B958" s="5">
        <v>46020</v>
      </c>
      <c r="C958" s="4" t="s">
        <v>16</v>
      </c>
      <c r="D958" s="4" t="s">
        <v>10</v>
      </c>
      <c r="E958" s="4" t="s">
        <v>14</v>
      </c>
      <c r="F958" s="4" t="s">
        <v>24</v>
      </c>
      <c r="G958" s="4">
        <v>20</v>
      </c>
      <c r="H958" s="6">
        <v>55000</v>
      </c>
      <c r="I958" s="7">
        <v>0.08</v>
      </c>
    </row>
    <row r="959" spans="1:9">
      <c r="A959" s="8">
        <v>1958</v>
      </c>
      <c r="B959" s="9">
        <v>45813</v>
      </c>
      <c r="C959" s="8" t="s">
        <v>9</v>
      </c>
      <c r="D959" s="8" t="s">
        <v>10</v>
      </c>
      <c r="E959" s="8" t="s">
        <v>14</v>
      </c>
      <c r="F959" s="8" t="s">
        <v>24</v>
      </c>
      <c r="G959" s="8">
        <v>7</v>
      </c>
      <c r="H959" s="10">
        <v>18000</v>
      </c>
      <c r="I959" s="11">
        <v>0.12</v>
      </c>
    </row>
    <row r="960" spans="1:9">
      <c r="A960" s="4">
        <v>1959</v>
      </c>
      <c r="B960" s="5">
        <v>45776</v>
      </c>
      <c r="C960" s="4" t="s">
        <v>25</v>
      </c>
      <c r="D960" s="4" t="s">
        <v>26</v>
      </c>
      <c r="E960" s="4" t="s">
        <v>17</v>
      </c>
      <c r="F960" s="4" t="s">
        <v>12</v>
      </c>
      <c r="G960" s="4">
        <v>13</v>
      </c>
      <c r="H960" s="6">
        <v>11000</v>
      </c>
      <c r="I960" s="7">
        <v>0.05</v>
      </c>
    </row>
    <row r="961" spans="1:9">
      <c r="A961" s="8">
        <v>1960</v>
      </c>
      <c r="B961" s="9">
        <v>45949</v>
      </c>
      <c r="C961" s="8" t="s">
        <v>29</v>
      </c>
      <c r="D961" s="8" t="s">
        <v>30</v>
      </c>
      <c r="E961" s="8" t="s">
        <v>22</v>
      </c>
      <c r="F961" s="8" t="s">
        <v>24</v>
      </c>
      <c r="G961" s="8">
        <v>6</v>
      </c>
      <c r="H961" s="8">
        <v>250</v>
      </c>
      <c r="I961" s="11">
        <v>0.12</v>
      </c>
    </row>
    <row r="962" spans="1:9">
      <c r="A962" s="4">
        <v>1961</v>
      </c>
      <c r="B962" s="5">
        <v>45984</v>
      </c>
      <c r="C962" s="4" t="s">
        <v>28</v>
      </c>
      <c r="D962" s="4" t="s">
        <v>26</v>
      </c>
      <c r="E962" s="4" t="s">
        <v>22</v>
      </c>
      <c r="F962" s="4" t="s">
        <v>15</v>
      </c>
      <c r="G962" s="4">
        <v>12</v>
      </c>
      <c r="H962" s="6">
        <v>9000</v>
      </c>
      <c r="I962" s="7">
        <v>0.15</v>
      </c>
    </row>
    <row r="963" spans="1:9">
      <c r="A963" s="8">
        <v>1962</v>
      </c>
      <c r="B963" s="9">
        <v>45711</v>
      </c>
      <c r="C963" s="8" t="s">
        <v>13</v>
      </c>
      <c r="D963" s="8" t="s">
        <v>10</v>
      </c>
      <c r="E963" s="8" t="s">
        <v>22</v>
      </c>
      <c r="F963" s="8" t="s">
        <v>23</v>
      </c>
      <c r="G963" s="8">
        <v>6</v>
      </c>
      <c r="H963" s="10">
        <v>1200</v>
      </c>
      <c r="I963" s="11">
        <v>0.12</v>
      </c>
    </row>
    <row r="964" spans="1:9">
      <c r="A964" s="4">
        <v>1963</v>
      </c>
      <c r="B964" s="5">
        <v>45994</v>
      </c>
      <c r="C964" s="4" t="s">
        <v>13</v>
      </c>
      <c r="D964" s="4" t="s">
        <v>10</v>
      </c>
      <c r="E964" s="4" t="s">
        <v>22</v>
      </c>
      <c r="F964" s="4" t="s">
        <v>23</v>
      </c>
      <c r="G964" s="4">
        <v>18</v>
      </c>
      <c r="H964" s="6">
        <v>1200</v>
      </c>
      <c r="I964" s="7">
        <v>0.12</v>
      </c>
    </row>
    <row r="965" spans="1:9">
      <c r="A965" s="8">
        <v>1964</v>
      </c>
      <c r="B965" s="9">
        <v>45819</v>
      </c>
      <c r="C965" s="8" t="s">
        <v>25</v>
      </c>
      <c r="D965" s="8" t="s">
        <v>26</v>
      </c>
      <c r="E965" s="8" t="s">
        <v>22</v>
      </c>
      <c r="F965" s="8" t="s">
        <v>15</v>
      </c>
      <c r="G965" s="8">
        <v>11</v>
      </c>
      <c r="H965" s="10">
        <v>11000</v>
      </c>
      <c r="I965" s="11">
        <v>0.08</v>
      </c>
    </row>
    <row r="966" spans="1:9">
      <c r="A966" s="4">
        <v>1965</v>
      </c>
      <c r="B966" s="5">
        <v>45823</v>
      </c>
      <c r="C966" s="4" t="s">
        <v>28</v>
      </c>
      <c r="D966" s="4" t="s">
        <v>26</v>
      </c>
      <c r="E966" s="4" t="s">
        <v>17</v>
      </c>
      <c r="F966" s="4" t="s">
        <v>15</v>
      </c>
      <c r="G966" s="4">
        <v>8</v>
      </c>
      <c r="H966" s="6">
        <v>9000</v>
      </c>
      <c r="I966" s="7">
        <v>0.12</v>
      </c>
    </row>
    <row r="967" spans="1:9">
      <c r="A967" s="8">
        <v>1966</v>
      </c>
      <c r="B967" s="9">
        <v>45939</v>
      </c>
      <c r="C967" s="8" t="s">
        <v>37</v>
      </c>
      <c r="D967" s="8" t="s">
        <v>36</v>
      </c>
      <c r="E967" s="8" t="s">
        <v>22</v>
      </c>
      <c r="F967" s="8" t="s">
        <v>20</v>
      </c>
      <c r="G967" s="8">
        <v>9</v>
      </c>
      <c r="H967" s="10">
        <v>1800</v>
      </c>
      <c r="I967" s="11">
        <v>0.08</v>
      </c>
    </row>
    <row r="968" spans="1:9">
      <c r="A968" s="4">
        <v>1967</v>
      </c>
      <c r="B968" s="5">
        <v>45861</v>
      </c>
      <c r="C968" s="4" t="s">
        <v>16</v>
      </c>
      <c r="D968" s="4" t="s">
        <v>10</v>
      </c>
      <c r="E968" s="4" t="s">
        <v>14</v>
      </c>
      <c r="F968" s="4" t="s">
        <v>32</v>
      </c>
      <c r="G968" s="4">
        <v>2</v>
      </c>
      <c r="H968" s="6">
        <v>55000</v>
      </c>
      <c r="I968" s="7">
        <v>0.08</v>
      </c>
    </row>
    <row r="969" spans="1:9">
      <c r="A969" s="8">
        <v>1968</v>
      </c>
      <c r="B969" s="9">
        <v>45812</v>
      </c>
      <c r="C969" s="8" t="s">
        <v>16</v>
      </c>
      <c r="D969" s="8" t="s">
        <v>10</v>
      </c>
      <c r="E969" s="8" t="s">
        <v>17</v>
      </c>
      <c r="F969" s="8" t="s">
        <v>23</v>
      </c>
      <c r="G969" s="8">
        <v>10</v>
      </c>
      <c r="H969" s="10">
        <v>55000</v>
      </c>
      <c r="I969" s="11">
        <v>0.05</v>
      </c>
    </row>
    <row r="970" spans="1:9">
      <c r="A970" s="4">
        <v>1969</v>
      </c>
      <c r="B970" s="5">
        <v>45669</v>
      </c>
      <c r="C970" s="4" t="s">
        <v>35</v>
      </c>
      <c r="D970" s="4" t="s">
        <v>36</v>
      </c>
      <c r="E970" s="4" t="s">
        <v>17</v>
      </c>
      <c r="F970" s="4" t="s">
        <v>24</v>
      </c>
      <c r="G970" s="4">
        <v>9</v>
      </c>
      <c r="H970" s="6">
        <v>3500</v>
      </c>
      <c r="I970" s="7">
        <v>0.12</v>
      </c>
    </row>
    <row r="971" spans="1:9">
      <c r="A971" s="8">
        <v>1970</v>
      </c>
      <c r="B971" s="9">
        <v>45677</v>
      </c>
      <c r="C971" s="8" t="s">
        <v>34</v>
      </c>
      <c r="D971" s="8" t="s">
        <v>26</v>
      </c>
      <c r="E971" s="8" t="s">
        <v>17</v>
      </c>
      <c r="F971" s="8" t="s">
        <v>27</v>
      </c>
      <c r="G971" s="8">
        <v>12</v>
      </c>
      <c r="H971" s="10">
        <v>15000</v>
      </c>
      <c r="I971" s="11">
        <v>0.05</v>
      </c>
    </row>
    <row r="972" spans="1:9">
      <c r="A972" s="4">
        <v>1971</v>
      </c>
      <c r="B972" s="5">
        <v>45845</v>
      </c>
      <c r="C972" s="4" t="s">
        <v>37</v>
      </c>
      <c r="D972" s="4" t="s">
        <v>36</v>
      </c>
      <c r="E972" s="4" t="s">
        <v>17</v>
      </c>
      <c r="F972" s="4" t="s">
        <v>27</v>
      </c>
      <c r="G972" s="4">
        <v>19</v>
      </c>
      <c r="H972" s="6">
        <v>1800</v>
      </c>
      <c r="I972" s="7">
        <v>0.05</v>
      </c>
    </row>
    <row r="973" spans="1:9">
      <c r="A973" s="8">
        <v>1972</v>
      </c>
      <c r="B973" s="9">
        <v>45811</v>
      </c>
      <c r="C973" s="8" t="s">
        <v>9</v>
      </c>
      <c r="D973" s="8" t="s">
        <v>10</v>
      </c>
      <c r="E973" s="8" t="s">
        <v>17</v>
      </c>
      <c r="F973" s="8" t="s">
        <v>24</v>
      </c>
      <c r="G973" s="8">
        <v>19</v>
      </c>
      <c r="H973" s="10">
        <v>18000</v>
      </c>
      <c r="I973" s="11">
        <v>0.1</v>
      </c>
    </row>
    <row r="974" spans="1:9">
      <c r="A974" s="4">
        <v>1973</v>
      </c>
      <c r="B974" s="5">
        <v>45824</v>
      </c>
      <c r="C974" s="4" t="s">
        <v>35</v>
      </c>
      <c r="D974" s="4" t="s">
        <v>36</v>
      </c>
      <c r="E974" s="4" t="s">
        <v>22</v>
      </c>
      <c r="F974" s="4" t="s">
        <v>24</v>
      </c>
      <c r="G974" s="4">
        <v>16</v>
      </c>
      <c r="H974" s="6">
        <v>3500</v>
      </c>
      <c r="I974" s="7">
        <v>0.05</v>
      </c>
    </row>
    <row r="975" spans="1:9">
      <c r="A975" s="8">
        <v>1974</v>
      </c>
      <c r="B975" s="9">
        <v>45962</v>
      </c>
      <c r="C975" s="8" t="s">
        <v>29</v>
      </c>
      <c r="D975" s="8" t="s">
        <v>30</v>
      </c>
      <c r="E975" s="8" t="s">
        <v>22</v>
      </c>
      <c r="F975" s="8" t="s">
        <v>24</v>
      </c>
      <c r="G975" s="8">
        <v>10</v>
      </c>
      <c r="H975" s="8">
        <v>250</v>
      </c>
      <c r="I975" s="11">
        <v>0</v>
      </c>
    </row>
    <row r="976" spans="1:9">
      <c r="A976" s="4">
        <v>1975</v>
      </c>
      <c r="B976" s="5">
        <v>45686</v>
      </c>
      <c r="C976" s="4" t="s">
        <v>37</v>
      </c>
      <c r="D976" s="4" t="s">
        <v>36</v>
      </c>
      <c r="E976" s="4" t="s">
        <v>22</v>
      </c>
      <c r="F976" s="4" t="s">
        <v>15</v>
      </c>
      <c r="G976" s="4">
        <v>11</v>
      </c>
      <c r="H976" s="6">
        <v>1800</v>
      </c>
      <c r="I976" s="7">
        <v>0.08</v>
      </c>
    </row>
    <row r="977" spans="1:9">
      <c r="A977" s="8">
        <v>1976</v>
      </c>
      <c r="B977" s="9">
        <v>45719</v>
      </c>
      <c r="C977" s="8" t="s">
        <v>38</v>
      </c>
      <c r="D977" s="8" t="s">
        <v>10</v>
      </c>
      <c r="E977" s="8" t="s">
        <v>14</v>
      </c>
      <c r="F977" s="8" t="s">
        <v>15</v>
      </c>
      <c r="G977" s="8">
        <v>8</v>
      </c>
      <c r="H977" s="10">
        <v>42000</v>
      </c>
      <c r="I977" s="11">
        <v>0.15</v>
      </c>
    </row>
    <row r="978" spans="1:9">
      <c r="A978" s="4">
        <v>1977</v>
      </c>
      <c r="B978" s="5">
        <v>45685</v>
      </c>
      <c r="C978" s="4" t="s">
        <v>21</v>
      </c>
      <c r="D978" s="4" t="s">
        <v>10</v>
      </c>
      <c r="E978" s="4" t="s">
        <v>11</v>
      </c>
      <c r="F978" s="4" t="s">
        <v>32</v>
      </c>
      <c r="G978" s="4">
        <v>17</v>
      </c>
      <c r="H978" s="6">
        <v>14000</v>
      </c>
      <c r="I978" s="7">
        <v>0</v>
      </c>
    </row>
    <row r="979" spans="1:9">
      <c r="A979" s="8">
        <v>1978</v>
      </c>
      <c r="B979" s="9">
        <v>45825</v>
      </c>
      <c r="C979" s="8" t="s">
        <v>25</v>
      </c>
      <c r="D979" s="8" t="s">
        <v>26</v>
      </c>
      <c r="E979" s="8" t="s">
        <v>14</v>
      </c>
      <c r="F979" s="8" t="s">
        <v>15</v>
      </c>
      <c r="G979" s="8">
        <v>8</v>
      </c>
      <c r="H979" s="10">
        <v>11000</v>
      </c>
      <c r="I979" s="11">
        <v>0.05</v>
      </c>
    </row>
    <row r="980" spans="1:9">
      <c r="A980" s="4">
        <v>1979</v>
      </c>
      <c r="B980" s="5">
        <v>45886</v>
      </c>
      <c r="C980" s="4" t="s">
        <v>35</v>
      </c>
      <c r="D980" s="4" t="s">
        <v>36</v>
      </c>
      <c r="E980" s="4" t="s">
        <v>14</v>
      </c>
      <c r="F980" s="4" t="s">
        <v>12</v>
      </c>
      <c r="G980" s="4">
        <v>20</v>
      </c>
      <c r="H980" s="6">
        <v>3500</v>
      </c>
      <c r="I980" s="7">
        <v>0.12</v>
      </c>
    </row>
    <row r="981" spans="1:9" ht="25.5">
      <c r="A981" s="3" t="s">
        <v>42</v>
      </c>
      <c r="B981" s="9">
        <v>45879</v>
      </c>
      <c r="C981" s="8" t="s">
        <v>21</v>
      </c>
      <c r="D981" s="8" t="s">
        <v>10</v>
      </c>
      <c r="E981" s="8" t="s">
        <v>17</v>
      </c>
      <c r="F981" s="8" t="s">
        <v>23</v>
      </c>
      <c r="G981" s="8">
        <v>13</v>
      </c>
      <c r="H981" s="10">
        <v>14000</v>
      </c>
      <c r="I981" s="11">
        <v>0.05</v>
      </c>
    </row>
    <row r="982" spans="1:9">
      <c r="A982" s="4">
        <v>1981</v>
      </c>
      <c r="B982" s="5">
        <v>45700</v>
      </c>
      <c r="C982" s="4" t="s">
        <v>34</v>
      </c>
      <c r="D982" s="4" t="s">
        <v>26</v>
      </c>
      <c r="E982" s="4" t="s">
        <v>14</v>
      </c>
      <c r="F982" s="4" t="s">
        <v>15</v>
      </c>
      <c r="G982" s="4">
        <v>19</v>
      </c>
      <c r="H982" s="6">
        <v>15000</v>
      </c>
      <c r="I982" s="7">
        <v>0.15</v>
      </c>
    </row>
    <row r="983" spans="1:9">
      <c r="A983" s="8">
        <v>1982</v>
      </c>
      <c r="B983" s="9">
        <v>45792</v>
      </c>
      <c r="C983" s="8" t="s">
        <v>9</v>
      </c>
      <c r="D983" s="8" t="s">
        <v>10</v>
      </c>
      <c r="E983" s="8" t="s">
        <v>22</v>
      </c>
      <c r="F983" s="8" t="s">
        <v>32</v>
      </c>
      <c r="G983" s="8">
        <v>13</v>
      </c>
      <c r="H983" s="10">
        <v>18000</v>
      </c>
      <c r="I983" s="11">
        <v>0.12</v>
      </c>
    </row>
    <row r="984" spans="1:9">
      <c r="A984" s="4">
        <v>1983</v>
      </c>
      <c r="B984" s="5">
        <v>45727</v>
      </c>
      <c r="C984" s="4" t="s">
        <v>34</v>
      </c>
      <c r="D984" s="4" t="s">
        <v>26</v>
      </c>
      <c r="E984" s="4" t="s">
        <v>22</v>
      </c>
      <c r="F984" s="4" t="s">
        <v>15</v>
      </c>
      <c r="G984" s="4">
        <v>18</v>
      </c>
      <c r="H984" s="6">
        <v>15000</v>
      </c>
      <c r="I984" s="7">
        <v>0.05</v>
      </c>
    </row>
    <row r="985" spans="1:9">
      <c r="A985" s="8">
        <v>1984</v>
      </c>
      <c r="B985" s="9">
        <v>45991</v>
      </c>
      <c r="C985" s="8" t="s">
        <v>28</v>
      </c>
      <c r="D985" s="8" t="s">
        <v>26</v>
      </c>
      <c r="E985" s="8" t="s">
        <v>17</v>
      </c>
      <c r="F985" s="8" t="s">
        <v>12</v>
      </c>
      <c r="G985" s="8">
        <v>7</v>
      </c>
      <c r="H985" s="10">
        <v>9000</v>
      </c>
      <c r="I985" s="11">
        <v>0.12</v>
      </c>
    </row>
    <row r="986" spans="1:9">
      <c r="A986" s="4">
        <v>1985</v>
      </c>
      <c r="B986" s="5">
        <v>45694</v>
      </c>
      <c r="C986" s="4" t="s">
        <v>21</v>
      </c>
      <c r="D986" s="4" t="s">
        <v>10</v>
      </c>
      <c r="E986" s="4" t="s">
        <v>14</v>
      </c>
      <c r="F986" s="4" t="s">
        <v>24</v>
      </c>
      <c r="G986" s="4">
        <v>14</v>
      </c>
      <c r="H986" s="6">
        <v>14000</v>
      </c>
      <c r="I986" s="7">
        <v>0.08</v>
      </c>
    </row>
    <row r="987" spans="1:9">
      <c r="A987" s="8">
        <v>1986</v>
      </c>
      <c r="B987" s="9">
        <v>46001</v>
      </c>
      <c r="C987" s="8" t="s">
        <v>31</v>
      </c>
      <c r="D987" s="8" t="s">
        <v>26</v>
      </c>
      <c r="E987" s="8" t="s">
        <v>11</v>
      </c>
      <c r="F987" s="8" t="s">
        <v>12</v>
      </c>
      <c r="G987" s="8">
        <v>14</v>
      </c>
      <c r="H987" s="10">
        <v>8500</v>
      </c>
      <c r="I987" s="11">
        <v>0.08</v>
      </c>
    </row>
    <row r="988" spans="1:9">
      <c r="A988" s="4">
        <v>1987</v>
      </c>
      <c r="B988" s="5">
        <v>45822</v>
      </c>
      <c r="C988" s="4" t="s">
        <v>33</v>
      </c>
      <c r="D988" s="4" t="s">
        <v>10</v>
      </c>
      <c r="E988" s="4" t="s">
        <v>14</v>
      </c>
      <c r="F988" s="4" t="s">
        <v>27</v>
      </c>
      <c r="G988" s="4">
        <v>20</v>
      </c>
      <c r="H988" s="6">
        <v>2500</v>
      </c>
      <c r="I988" s="7">
        <v>0.15</v>
      </c>
    </row>
    <row r="989" spans="1:9">
      <c r="A989" s="8">
        <v>1988</v>
      </c>
      <c r="B989" s="9">
        <v>45744</v>
      </c>
      <c r="C989" s="8" t="s">
        <v>33</v>
      </c>
      <c r="D989" s="8" t="s">
        <v>10</v>
      </c>
      <c r="E989" s="8" t="s">
        <v>17</v>
      </c>
      <c r="F989" s="8" t="s">
        <v>20</v>
      </c>
      <c r="G989" s="8">
        <v>20</v>
      </c>
      <c r="H989" s="10">
        <v>2500</v>
      </c>
      <c r="I989" s="11">
        <v>0.1</v>
      </c>
    </row>
    <row r="990" spans="1:9">
      <c r="A990" s="4">
        <v>1989</v>
      </c>
      <c r="B990" s="5">
        <v>45680</v>
      </c>
      <c r="C990" s="4" t="s">
        <v>37</v>
      </c>
      <c r="D990" s="4" t="s">
        <v>36</v>
      </c>
      <c r="E990" s="4" t="s">
        <v>11</v>
      </c>
      <c r="F990" s="4" t="s">
        <v>32</v>
      </c>
      <c r="G990" s="4">
        <v>8</v>
      </c>
      <c r="H990" s="6">
        <v>1800</v>
      </c>
      <c r="I990" s="7">
        <v>0.05</v>
      </c>
    </row>
    <row r="991" spans="1:9">
      <c r="A991" s="8">
        <v>1990</v>
      </c>
      <c r="B991" s="9">
        <v>45701</v>
      </c>
      <c r="C991" s="8" t="s">
        <v>9</v>
      </c>
      <c r="D991" s="8" t="s">
        <v>10</v>
      </c>
      <c r="E991" s="8" t="s">
        <v>17</v>
      </c>
      <c r="F991" s="8" t="s">
        <v>27</v>
      </c>
      <c r="G991" s="8">
        <v>2</v>
      </c>
      <c r="H991" s="10">
        <v>18000</v>
      </c>
      <c r="I991" s="11">
        <v>0.05</v>
      </c>
    </row>
    <row r="992" spans="1:9">
      <c r="A992" s="4">
        <v>1991</v>
      </c>
      <c r="B992" s="5">
        <v>45665</v>
      </c>
      <c r="C992" s="4" t="s">
        <v>33</v>
      </c>
      <c r="D992" s="4" t="s">
        <v>10</v>
      </c>
      <c r="E992" s="4" t="s">
        <v>22</v>
      </c>
      <c r="F992" s="4" t="s">
        <v>20</v>
      </c>
      <c r="G992" s="4">
        <v>4</v>
      </c>
      <c r="H992" s="6">
        <v>2500</v>
      </c>
      <c r="I992" s="7">
        <v>0.08</v>
      </c>
    </row>
    <row r="993" spans="1:9">
      <c r="A993" s="8">
        <v>1992</v>
      </c>
      <c r="B993" s="9">
        <v>45669</v>
      </c>
      <c r="C993" s="8" t="s">
        <v>33</v>
      </c>
      <c r="D993" s="8" t="s">
        <v>10</v>
      </c>
      <c r="E993" s="8" t="s">
        <v>17</v>
      </c>
      <c r="F993" s="8" t="s">
        <v>12</v>
      </c>
      <c r="G993" s="8">
        <v>7</v>
      </c>
      <c r="H993" s="10">
        <v>2500</v>
      </c>
      <c r="I993" s="11">
        <v>0.15</v>
      </c>
    </row>
    <row r="994" spans="1:9">
      <c r="A994" s="4">
        <v>1993</v>
      </c>
      <c r="B994" s="5">
        <v>45937</v>
      </c>
      <c r="C994" s="4" t="s">
        <v>25</v>
      </c>
      <c r="D994" s="4" t="s">
        <v>26</v>
      </c>
      <c r="E994" s="4" t="s">
        <v>22</v>
      </c>
      <c r="F994" s="4" t="s">
        <v>32</v>
      </c>
      <c r="G994" s="4">
        <v>9</v>
      </c>
      <c r="H994" s="6">
        <v>11000</v>
      </c>
      <c r="I994" s="7">
        <v>0.12</v>
      </c>
    </row>
    <row r="995" spans="1:9">
      <c r="A995" s="8">
        <v>1994</v>
      </c>
      <c r="B995" s="9">
        <v>46013</v>
      </c>
      <c r="C995" s="8" t="s">
        <v>39</v>
      </c>
      <c r="D995" s="8" t="s">
        <v>30</v>
      </c>
      <c r="E995" s="8" t="s">
        <v>14</v>
      </c>
      <c r="F995" s="8" t="s">
        <v>27</v>
      </c>
      <c r="G995" s="8">
        <v>1</v>
      </c>
      <c r="H995" s="8">
        <v>180</v>
      </c>
      <c r="I995" s="11">
        <v>0.1</v>
      </c>
    </row>
    <row r="996" spans="1:9">
      <c r="A996" s="4">
        <v>1995</v>
      </c>
      <c r="B996" s="5">
        <v>45745</v>
      </c>
      <c r="C996" s="4" t="s">
        <v>16</v>
      </c>
      <c r="D996" s="4" t="s">
        <v>10</v>
      </c>
      <c r="E996" s="4" t="s">
        <v>11</v>
      </c>
      <c r="F996" s="4" t="s">
        <v>18</v>
      </c>
      <c r="G996" s="4">
        <v>10</v>
      </c>
      <c r="H996" s="6">
        <v>55000</v>
      </c>
      <c r="I996" s="7">
        <v>0.05</v>
      </c>
    </row>
    <row r="997" spans="1:9">
      <c r="A997" s="8">
        <v>1996</v>
      </c>
      <c r="B997" s="9">
        <v>45896</v>
      </c>
      <c r="C997" s="8" t="s">
        <v>29</v>
      </c>
      <c r="D997" s="8" t="s">
        <v>30</v>
      </c>
      <c r="E997" s="8" t="s">
        <v>22</v>
      </c>
      <c r="F997" s="8" t="s">
        <v>27</v>
      </c>
      <c r="G997" s="8">
        <v>1</v>
      </c>
      <c r="H997" s="8">
        <v>250</v>
      </c>
      <c r="I997" s="11">
        <v>0</v>
      </c>
    </row>
    <row r="998" spans="1:9">
      <c r="A998" s="4">
        <v>1997</v>
      </c>
      <c r="B998" s="5">
        <v>45997</v>
      </c>
      <c r="C998" s="4" t="s">
        <v>38</v>
      </c>
      <c r="D998" s="4" t="s">
        <v>10</v>
      </c>
      <c r="E998" s="4" t="s">
        <v>14</v>
      </c>
      <c r="F998" s="4" t="s">
        <v>27</v>
      </c>
      <c r="G998" s="4">
        <v>12</v>
      </c>
      <c r="H998" s="6">
        <v>42000</v>
      </c>
      <c r="I998" s="7">
        <v>0</v>
      </c>
    </row>
    <row r="999" spans="1:9">
      <c r="A999" s="8">
        <v>1998</v>
      </c>
      <c r="B999" s="9">
        <v>45990</v>
      </c>
      <c r="C999" s="8" t="s">
        <v>31</v>
      </c>
      <c r="D999" s="8" t="s">
        <v>26</v>
      </c>
      <c r="E999" s="8" t="s">
        <v>14</v>
      </c>
      <c r="F999" s="8" t="s">
        <v>23</v>
      </c>
      <c r="G999" s="8">
        <v>8</v>
      </c>
      <c r="H999" s="10">
        <v>8500</v>
      </c>
      <c r="I999" s="11">
        <v>0.1</v>
      </c>
    </row>
    <row r="1000" spans="1:9">
      <c r="A1000" s="4">
        <v>1999</v>
      </c>
      <c r="B1000" s="5">
        <v>45906</v>
      </c>
      <c r="C1000" s="4" t="s">
        <v>38</v>
      </c>
      <c r="D1000" s="4" t="s">
        <v>10</v>
      </c>
      <c r="E1000" s="4" t="s">
        <v>14</v>
      </c>
      <c r="F1000" s="4" t="s">
        <v>32</v>
      </c>
      <c r="G1000" s="4">
        <v>20</v>
      </c>
      <c r="H1000" s="6">
        <v>42000</v>
      </c>
      <c r="I1000" s="7">
        <v>0.12</v>
      </c>
    </row>
    <row r="1001" spans="1:9">
      <c r="A1001" s="8">
        <v>2000</v>
      </c>
      <c r="B1001" s="9">
        <v>45759</v>
      </c>
      <c r="C1001" s="8" t="s">
        <v>25</v>
      </c>
      <c r="D1001" s="8" t="s">
        <v>26</v>
      </c>
      <c r="E1001" s="8" t="s">
        <v>14</v>
      </c>
      <c r="F1001" s="8" t="s">
        <v>18</v>
      </c>
      <c r="G1001" s="8">
        <v>15</v>
      </c>
      <c r="H1001" s="10">
        <v>11000</v>
      </c>
      <c r="I1001" s="11">
        <v>0.12</v>
      </c>
    </row>
    <row r="1002" spans="1:9" ht="25.5">
      <c r="A1002" s="3" t="s">
        <v>42</v>
      </c>
      <c r="B1002" s="3" t="s">
        <v>42</v>
      </c>
      <c r="C1002" s="3" t="s">
        <v>42</v>
      </c>
      <c r="D1002" s="3" t="s">
        <v>42</v>
      </c>
      <c r="E1002" s="3" t="s">
        <v>42</v>
      </c>
      <c r="F1002" s="3" t="s">
        <v>42</v>
      </c>
      <c r="G1002" s="3" t="s">
        <v>42</v>
      </c>
      <c r="H1002" s="3" t="s">
        <v>42</v>
      </c>
      <c r="I1002" s="3" t="s">
        <v>42</v>
      </c>
    </row>
  </sheetData>
  <conditionalFormatting sqref="A2:A1001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FF77-18F4-47DD-992F-DDABB695528C}">
  <dimension ref="A1:O1001"/>
  <sheetViews>
    <sheetView workbookViewId="0">
      <selection activeCell="A2" sqref="A2"/>
    </sheetView>
  </sheetViews>
  <sheetFormatPr defaultRowHeight="15"/>
  <cols>
    <col min="1" max="1" width="9.42578125" bestFit="1" customWidth="1"/>
    <col min="3" max="3" width="9.7109375" bestFit="1" customWidth="1"/>
    <col min="4" max="4" width="10.5703125" bestFit="1" customWidth="1"/>
    <col min="6" max="6" width="11.28515625" bestFit="1" customWidth="1"/>
    <col min="8" max="8" width="10.28515625" bestFit="1" customWidth="1"/>
    <col min="11" max="11" width="9.85546875" style="32" customWidth="1"/>
    <col min="12" max="12" width="14.28515625" style="32" customWidth="1"/>
    <col min="13" max="13" width="11.5703125" style="38" customWidth="1"/>
    <col min="15" max="15" width="10.5703125" customWidth="1"/>
  </cols>
  <sheetData>
    <row r="1" spans="1:1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9" t="s">
        <v>45</v>
      </c>
      <c r="K1" s="30" t="s">
        <v>46</v>
      </c>
      <c r="L1" s="30" t="s">
        <v>47</v>
      </c>
      <c r="M1" s="35" t="s">
        <v>48</v>
      </c>
      <c r="O1" t="s">
        <v>49</v>
      </c>
    </row>
    <row r="2" spans="1:15">
      <c r="A2" s="16">
        <v>1001</v>
      </c>
      <c r="B2" s="15">
        <v>45985</v>
      </c>
      <c r="C2" s="16" t="s">
        <v>9</v>
      </c>
      <c r="D2" s="16" t="s">
        <v>10</v>
      </c>
      <c r="E2" s="16" t="s">
        <v>11</v>
      </c>
      <c r="F2" s="16" t="s">
        <v>12</v>
      </c>
      <c r="G2" s="16">
        <v>1</v>
      </c>
      <c r="H2" s="17">
        <v>18000</v>
      </c>
      <c r="I2" s="23">
        <v>0.15</v>
      </c>
      <c r="J2" s="28">
        <f>Table2[[#This Row],[Quantity]]*Table2[[#This Row],[Unit_Price]]</f>
        <v>18000</v>
      </c>
      <c r="K2" s="31">
        <f t="shared" ref="K2:K65" si="0">J2*(1-I2)</f>
        <v>15300</v>
      </c>
      <c r="L2" s="31">
        <f>Table2[[#This Row],[gross sales]]-Table2[[#This Row],[net sale]]</f>
        <v>2700</v>
      </c>
      <c r="M2" s="36" t="str">
        <f>TEXT(B2,"mmm")</f>
        <v>Nov</v>
      </c>
      <c r="O2">
        <f>SUM(K2:K1001)/COUNT(K2:K1001)</f>
        <v>122216.17745490983</v>
      </c>
    </row>
    <row r="3" spans="1:15">
      <c r="A3" s="19">
        <v>1002</v>
      </c>
      <c r="B3" s="18">
        <v>45772</v>
      </c>
      <c r="C3" s="19" t="s">
        <v>13</v>
      </c>
      <c r="D3" s="19" t="s">
        <v>10</v>
      </c>
      <c r="E3" s="19" t="s">
        <v>14</v>
      </c>
      <c r="F3" s="19" t="s">
        <v>15</v>
      </c>
      <c r="G3" s="19">
        <v>4</v>
      </c>
      <c r="H3" s="20">
        <v>1200</v>
      </c>
      <c r="I3" s="24">
        <v>0.15</v>
      </c>
      <c r="J3" s="28">
        <f>Table2[[#This Row],[Quantity]]*Table2[[#This Row],[Unit_Price]]</f>
        <v>4800</v>
      </c>
      <c r="K3" s="31">
        <f t="shared" si="0"/>
        <v>4080</v>
      </c>
      <c r="L3" s="31">
        <f>Table2[[#This Row],[gross sales]]-Table2[[#This Row],[net sale]]</f>
        <v>720</v>
      </c>
      <c r="M3" s="37" t="str">
        <f>TEXT(B3,"mmm")</f>
        <v>Apr</v>
      </c>
      <c r="O3" s="32"/>
    </row>
    <row r="4" spans="1:15">
      <c r="A4" s="16">
        <v>1003</v>
      </c>
      <c r="B4" s="15">
        <v>45674</v>
      </c>
      <c r="C4" s="16" t="s">
        <v>16</v>
      </c>
      <c r="D4" s="16" t="s">
        <v>10</v>
      </c>
      <c r="E4" s="16" t="s">
        <v>17</v>
      </c>
      <c r="F4" s="16" t="s">
        <v>18</v>
      </c>
      <c r="G4" s="16">
        <v>3</v>
      </c>
      <c r="H4" s="17">
        <v>55000</v>
      </c>
      <c r="I4" s="23">
        <v>0.05</v>
      </c>
      <c r="J4" s="28">
        <f>Table2[[#This Row],[Quantity]]*Table2[[#This Row],[Unit_Price]]</f>
        <v>165000</v>
      </c>
      <c r="K4" s="31">
        <f t="shared" si="0"/>
        <v>156750</v>
      </c>
      <c r="L4" s="31">
        <f>Table2[[#This Row],[gross sales]]-Table2[[#This Row],[net sale]]</f>
        <v>8250</v>
      </c>
      <c r="M4" s="36" t="str">
        <f>TEXT(B4,"mmm")</f>
        <v>Jan</v>
      </c>
    </row>
    <row r="5" spans="1:15">
      <c r="A5" s="19">
        <v>1004</v>
      </c>
      <c r="B5" s="18">
        <v>45945</v>
      </c>
      <c r="C5" s="19" t="s">
        <v>19</v>
      </c>
      <c r="D5" s="19" t="s">
        <v>10</v>
      </c>
      <c r="E5" s="19" t="s">
        <v>17</v>
      </c>
      <c r="F5" s="19" t="s">
        <v>20</v>
      </c>
      <c r="G5" s="19">
        <v>18</v>
      </c>
      <c r="H5" s="19">
        <v>800</v>
      </c>
      <c r="I5" s="24">
        <v>0.1</v>
      </c>
      <c r="J5" s="28">
        <f>Table2[[#This Row],[Quantity]]*Table2[[#This Row],[Unit_Price]]</f>
        <v>14400</v>
      </c>
      <c r="K5" s="31">
        <f t="shared" si="0"/>
        <v>12960</v>
      </c>
      <c r="L5" s="31">
        <f>Table2[[#This Row],[gross sales]]-Table2[[#This Row],[net sale]]</f>
        <v>1440</v>
      </c>
      <c r="M5" s="37" t="str">
        <f>TEXT(B5,"mmm")</f>
        <v>Oct</v>
      </c>
    </row>
    <row r="6" spans="1:15">
      <c r="A6" s="16">
        <v>1005</v>
      </c>
      <c r="B6" s="15">
        <v>45959</v>
      </c>
      <c r="C6" s="16" t="s">
        <v>21</v>
      </c>
      <c r="D6" s="16" t="s">
        <v>10</v>
      </c>
      <c r="E6" s="16" t="s">
        <v>22</v>
      </c>
      <c r="F6" s="16" t="s">
        <v>23</v>
      </c>
      <c r="G6" s="16">
        <v>1</v>
      </c>
      <c r="H6" s="17">
        <v>14000</v>
      </c>
      <c r="I6" s="23">
        <v>0.05</v>
      </c>
      <c r="J6" s="28">
        <f>Table2[[#This Row],[Quantity]]*Table2[[#This Row],[Unit_Price]]</f>
        <v>14000</v>
      </c>
      <c r="K6" s="31">
        <f t="shared" si="0"/>
        <v>13300</v>
      </c>
      <c r="L6" s="31">
        <f>Table2[[#This Row],[gross sales]]-Table2[[#This Row],[net sale]]</f>
        <v>700</v>
      </c>
      <c r="M6" s="36" t="str">
        <f>TEXT(B6,"mmm")</f>
        <v>Oct</v>
      </c>
    </row>
    <row r="7" spans="1:15">
      <c r="A7" s="19">
        <v>1006</v>
      </c>
      <c r="B7" s="18">
        <v>45800</v>
      </c>
      <c r="C7" s="19" t="s">
        <v>13</v>
      </c>
      <c r="D7" s="19" t="s">
        <v>10</v>
      </c>
      <c r="E7" s="19" t="s">
        <v>14</v>
      </c>
      <c r="F7" s="19" t="s">
        <v>24</v>
      </c>
      <c r="G7" s="19">
        <v>7</v>
      </c>
      <c r="H7" s="20">
        <v>1200</v>
      </c>
      <c r="I7" s="24">
        <v>0.08</v>
      </c>
      <c r="J7" s="28">
        <f>Table2[[#This Row],[Quantity]]*Table2[[#This Row],[Unit_Price]]</f>
        <v>8400</v>
      </c>
      <c r="K7" s="31">
        <f t="shared" si="0"/>
        <v>7728</v>
      </c>
      <c r="L7" s="31">
        <f>Table2[[#This Row],[gross sales]]-Table2[[#This Row],[net sale]]</f>
        <v>672</v>
      </c>
      <c r="M7" s="37" t="str">
        <f>TEXT(B7,"mmm")</f>
        <v>May</v>
      </c>
    </row>
    <row r="8" spans="1:15">
      <c r="A8" s="16">
        <v>1007</v>
      </c>
      <c r="B8" s="15">
        <v>45852</v>
      </c>
      <c r="C8" s="16" t="s">
        <v>9</v>
      </c>
      <c r="D8" s="16" t="s">
        <v>10</v>
      </c>
      <c r="E8" s="16" t="s">
        <v>11</v>
      </c>
      <c r="F8" s="16" t="s">
        <v>18</v>
      </c>
      <c r="G8" s="16">
        <v>12</v>
      </c>
      <c r="H8" s="17">
        <v>18000</v>
      </c>
      <c r="I8" s="23">
        <v>0.08</v>
      </c>
      <c r="J8" s="28">
        <f>Table2[[#This Row],[Quantity]]*Table2[[#This Row],[Unit_Price]]</f>
        <v>216000</v>
      </c>
      <c r="K8" s="31">
        <f t="shared" si="0"/>
        <v>198720</v>
      </c>
      <c r="L8" s="31">
        <f>Table2[[#This Row],[gross sales]]-Table2[[#This Row],[net sale]]</f>
        <v>17280</v>
      </c>
      <c r="M8" s="36" t="str">
        <f>TEXT(B8,"mmm")</f>
        <v>Jul</v>
      </c>
    </row>
    <row r="9" spans="1:15">
      <c r="A9" s="19">
        <v>1008</v>
      </c>
      <c r="B9" s="18">
        <v>45893</v>
      </c>
      <c r="C9" s="19" t="s">
        <v>25</v>
      </c>
      <c r="D9" s="19" t="s">
        <v>26</v>
      </c>
      <c r="E9" s="19" t="s">
        <v>14</v>
      </c>
      <c r="F9" s="19" t="s">
        <v>27</v>
      </c>
      <c r="G9" s="19">
        <v>4</v>
      </c>
      <c r="H9" s="20">
        <v>11000</v>
      </c>
      <c r="I9" s="24">
        <v>0.1</v>
      </c>
      <c r="J9" s="28">
        <f>Table2[[#This Row],[Quantity]]*Table2[[#This Row],[Unit_Price]]</f>
        <v>44000</v>
      </c>
      <c r="K9" s="31">
        <f t="shared" si="0"/>
        <v>39600</v>
      </c>
      <c r="L9" s="31">
        <f>Table2[[#This Row],[gross sales]]-Table2[[#This Row],[net sale]]</f>
        <v>4400</v>
      </c>
      <c r="M9" s="37" t="str">
        <f>TEXT(B9,"mmm")</f>
        <v>Aug</v>
      </c>
    </row>
    <row r="10" spans="1:15">
      <c r="A10" s="16">
        <v>1009</v>
      </c>
      <c r="B10" s="15">
        <v>45979</v>
      </c>
      <c r="C10" s="16" t="s">
        <v>28</v>
      </c>
      <c r="D10" s="16" t="s">
        <v>26</v>
      </c>
      <c r="E10" s="16" t="s">
        <v>17</v>
      </c>
      <c r="F10" s="16" t="s">
        <v>24</v>
      </c>
      <c r="G10" s="16">
        <v>12</v>
      </c>
      <c r="H10" s="17">
        <v>9000</v>
      </c>
      <c r="I10" s="23">
        <v>0.12</v>
      </c>
      <c r="J10" s="28">
        <f>Table2[[#This Row],[Quantity]]*Table2[[#This Row],[Unit_Price]]</f>
        <v>108000</v>
      </c>
      <c r="K10" s="31">
        <f t="shared" si="0"/>
        <v>95040</v>
      </c>
      <c r="L10" s="31">
        <f>Table2[[#This Row],[gross sales]]-Table2[[#This Row],[net sale]]</f>
        <v>12960</v>
      </c>
      <c r="M10" s="36" t="str">
        <f>TEXT(B10,"mmm")</f>
        <v>Nov</v>
      </c>
    </row>
    <row r="11" spans="1:15">
      <c r="A11" s="19">
        <v>1010</v>
      </c>
      <c r="B11" s="18">
        <v>45681</v>
      </c>
      <c r="C11" s="19" t="s">
        <v>29</v>
      </c>
      <c r="D11" s="19" t="s">
        <v>30</v>
      </c>
      <c r="E11" s="19" t="s">
        <v>14</v>
      </c>
      <c r="F11" s="19" t="s">
        <v>12</v>
      </c>
      <c r="G11" s="19">
        <v>8</v>
      </c>
      <c r="H11" s="19">
        <v>250</v>
      </c>
      <c r="I11" s="24">
        <v>0.08</v>
      </c>
      <c r="J11" s="28">
        <f>Table2[[#This Row],[Quantity]]*Table2[[#This Row],[Unit_Price]]</f>
        <v>2000</v>
      </c>
      <c r="K11" s="31">
        <f t="shared" si="0"/>
        <v>1840</v>
      </c>
      <c r="L11" s="31">
        <f>Table2[[#This Row],[gross sales]]-Table2[[#This Row],[net sale]]</f>
        <v>160</v>
      </c>
      <c r="M11" s="37" t="str">
        <f>TEXT(B11,"mmm")</f>
        <v>Jan</v>
      </c>
    </row>
    <row r="12" spans="1:15">
      <c r="A12" s="16">
        <v>1011</v>
      </c>
      <c r="B12" s="15">
        <v>45709</v>
      </c>
      <c r="C12" s="16" t="s">
        <v>31</v>
      </c>
      <c r="D12" s="16" t="s">
        <v>26</v>
      </c>
      <c r="E12" s="16" t="s">
        <v>11</v>
      </c>
      <c r="F12" s="16" t="s">
        <v>32</v>
      </c>
      <c r="G12" s="16">
        <v>9</v>
      </c>
      <c r="H12" s="17">
        <v>8500</v>
      </c>
      <c r="I12" s="23">
        <v>0.1</v>
      </c>
      <c r="J12" s="28">
        <f>Table2[[#This Row],[Quantity]]*Table2[[#This Row],[Unit_Price]]</f>
        <v>76500</v>
      </c>
      <c r="K12" s="31">
        <f t="shared" si="0"/>
        <v>68850</v>
      </c>
      <c r="L12" s="31">
        <f>Table2[[#This Row],[gross sales]]-Table2[[#This Row],[net sale]]</f>
        <v>7650</v>
      </c>
      <c r="M12" s="36" t="str">
        <f>TEXT(B12,"mmm")</f>
        <v>Feb</v>
      </c>
    </row>
    <row r="13" spans="1:15">
      <c r="A13" s="19">
        <v>1012</v>
      </c>
      <c r="B13" s="18">
        <v>45847</v>
      </c>
      <c r="C13" s="19" t="s">
        <v>33</v>
      </c>
      <c r="D13" s="19" t="s">
        <v>10</v>
      </c>
      <c r="E13" s="19" t="s">
        <v>11</v>
      </c>
      <c r="F13" s="19" t="s">
        <v>24</v>
      </c>
      <c r="G13" s="19">
        <v>7</v>
      </c>
      <c r="H13" s="20">
        <v>2500</v>
      </c>
      <c r="I13" s="24">
        <v>0.15</v>
      </c>
      <c r="J13" s="28">
        <f>Table2[[#This Row],[Quantity]]*Table2[[#This Row],[Unit_Price]]</f>
        <v>17500</v>
      </c>
      <c r="K13" s="31">
        <f t="shared" si="0"/>
        <v>14875</v>
      </c>
      <c r="L13" s="31">
        <f>Table2[[#This Row],[gross sales]]-Table2[[#This Row],[net sale]]</f>
        <v>2625</v>
      </c>
      <c r="M13" s="37" t="str">
        <f>TEXT(B13,"mmm")</f>
        <v>Jul</v>
      </c>
    </row>
    <row r="14" spans="1:15">
      <c r="A14" s="16">
        <v>1013</v>
      </c>
      <c r="B14" s="15">
        <v>45969</v>
      </c>
      <c r="C14" s="16" t="s">
        <v>29</v>
      </c>
      <c r="D14" s="16" t="s">
        <v>30</v>
      </c>
      <c r="E14" s="16" t="s">
        <v>17</v>
      </c>
      <c r="F14" s="16" t="s">
        <v>32</v>
      </c>
      <c r="G14" s="16">
        <v>6</v>
      </c>
      <c r="H14" s="16">
        <v>250</v>
      </c>
      <c r="I14" s="23">
        <v>0.12</v>
      </c>
      <c r="J14" s="28">
        <f>Table2[[#This Row],[Quantity]]*Table2[[#This Row],[Unit_Price]]</f>
        <v>1500</v>
      </c>
      <c r="K14" s="31">
        <f t="shared" si="0"/>
        <v>1320</v>
      </c>
      <c r="L14" s="31">
        <f>Table2[[#This Row],[gross sales]]-Table2[[#This Row],[net sale]]</f>
        <v>180</v>
      </c>
      <c r="M14" s="36" t="str">
        <f>TEXT(B14,"mmm")</f>
        <v>Nov</v>
      </c>
    </row>
    <row r="15" spans="1:15">
      <c r="A15" s="19">
        <v>1014</v>
      </c>
      <c r="B15" s="18">
        <v>45894</v>
      </c>
      <c r="C15" s="19" t="s">
        <v>31</v>
      </c>
      <c r="D15" s="19" t="s">
        <v>26</v>
      </c>
      <c r="E15" s="19" t="s">
        <v>17</v>
      </c>
      <c r="F15" s="19" t="s">
        <v>23</v>
      </c>
      <c r="G15" s="19">
        <v>9</v>
      </c>
      <c r="H15" s="20">
        <v>8500</v>
      </c>
      <c r="I15" s="24">
        <v>0.15</v>
      </c>
      <c r="J15" s="28">
        <f>Table2[[#This Row],[Quantity]]*Table2[[#This Row],[Unit_Price]]</f>
        <v>76500</v>
      </c>
      <c r="K15" s="31">
        <f t="shared" si="0"/>
        <v>65025</v>
      </c>
      <c r="L15" s="31">
        <f>Table2[[#This Row],[gross sales]]-Table2[[#This Row],[net sale]]</f>
        <v>11475</v>
      </c>
      <c r="M15" s="37" t="str">
        <f>TEXT(B15,"mmm")</f>
        <v>Aug</v>
      </c>
    </row>
    <row r="16" spans="1:15">
      <c r="A16" s="16">
        <v>1015</v>
      </c>
      <c r="B16" s="15">
        <v>45686</v>
      </c>
      <c r="C16" s="16" t="s">
        <v>19</v>
      </c>
      <c r="D16" s="16" t="s">
        <v>10</v>
      </c>
      <c r="E16" s="16" t="s">
        <v>22</v>
      </c>
      <c r="F16" s="16" t="s">
        <v>27</v>
      </c>
      <c r="G16" s="16">
        <v>2</v>
      </c>
      <c r="H16" s="16">
        <v>800</v>
      </c>
      <c r="I16" s="23">
        <v>0.08</v>
      </c>
      <c r="J16" s="28">
        <f>Table2[[#This Row],[Quantity]]*Table2[[#This Row],[Unit_Price]]</f>
        <v>1600</v>
      </c>
      <c r="K16" s="31">
        <f t="shared" si="0"/>
        <v>1472</v>
      </c>
      <c r="L16" s="31">
        <f>Table2[[#This Row],[gross sales]]-Table2[[#This Row],[net sale]]</f>
        <v>128</v>
      </c>
      <c r="M16" s="36" t="str">
        <f>TEXT(B16,"mmm")</f>
        <v>Jan</v>
      </c>
    </row>
    <row r="17" spans="1:13">
      <c r="A17" s="19">
        <v>1016</v>
      </c>
      <c r="B17" s="18">
        <v>45691</v>
      </c>
      <c r="C17" s="19" t="s">
        <v>19</v>
      </c>
      <c r="D17" s="19" t="s">
        <v>10</v>
      </c>
      <c r="E17" s="19" t="s">
        <v>11</v>
      </c>
      <c r="F17" s="19" t="s">
        <v>12</v>
      </c>
      <c r="G17" s="19">
        <v>19</v>
      </c>
      <c r="H17" s="19">
        <v>800</v>
      </c>
      <c r="I17" s="24">
        <v>0.15</v>
      </c>
      <c r="J17" s="28">
        <f>Table2[[#This Row],[Quantity]]*Table2[[#This Row],[Unit_Price]]</f>
        <v>15200</v>
      </c>
      <c r="K17" s="31">
        <f t="shared" si="0"/>
        <v>12920</v>
      </c>
      <c r="L17" s="31">
        <f>Table2[[#This Row],[gross sales]]-Table2[[#This Row],[net sale]]</f>
        <v>2280</v>
      </c>
      <c r="M17" s="37" t="str">
        <f>TEXT(B17,"mmm")</f>
        <v>Feb</v>
      </c>
    </row>
    <row r="18" spans="1:13">
      <c r="A18" s="16">
        <v>1017</v>
      </c>
      <c r="B18" s="15">
        <v>45993</v>
      </c>
      <c r="C18" s="16" t="s">
        <v>34</v>
      </c>
      <c r="D18" s="16" t="s">
        <v>26</v>
      </c>
      <c r="E18" s="16" t="s">
        <v>22</v>
      </c>
      <c r="F18" s="16" t="s">
        <v>32</v>
      </c>
      <c r="G18" s="16">
        <v>13</v>
      </c>
      <c r="H18" s="17">
        <v>15000</v>
      </c>
      <c r="I18" s="23">
        <v>0.15</v>
      </c>
      <c r="J18" s="28">
        <f>Table2[[#This Row],[Quantity]]*Table2[[#This Row],[Unit_Price]]</f>
        <v>195000</v>
      </c>
      <c r="K18" s="31">
        <f t="shared" si="0"/>
        <v>165750</v>
      </c>
      <c r="L18" s="31">
        <f>Table2[[#This Row],[gross sales]]-Table2[[#This Row],[net sale]]</f>
        <v>29250</v>
      </c>
      <c r="M18" s="36" t="str">
        <f>TEXT(B18,"mmm")</f>
        <v>Dec</v>
      </c>
    </row>
    <row r="19" spans="1:13">
      <c r="A19" s="19">
        <v>1018</v>
      </c>
      <c r="B19" s="18">
        <v>45793</v>
      </c>
      <c r="C19" s="19" t="s">
        <v>13</v>
      </c>
      <c r="D19" s="19" t="s">
        <v>10</v>
      </c>
      <c r="E19" s="19" t="s">
        <v>11</v>
      </c>
      <c r="F19" s="19" t="s">
        <v>15</v>
      </c>
      <c r="G19" s="19">
        <v>8</v>
      </c>
      <c r="H19" s="20">
        <v>1200</v>
      </c>
      <c r="I19" s="24">
        <v>0.15</v>
      </c>
      <c r="J19" s="28">
        <f>Table2[[#This Row],[Quantity]]*Table2[[#This Row],[Unit_Price]]</f>
        <v>9600</v>
      </c>
      <c r="K19" s="31">
        <f t="shared" si="0"/>
        <v>8160</v>
      </c>
      <c r="L19" s="31">
        <f>Table2[[#This Row],[gross sales]]-Table2[[#This Row],[net sale]]</f>
        <v>1440</v>
      </c>
      <c r="M19" s="37" t="str">
        <f>TEXT(B19,"mmm")</f>
        <v>May</v>
      </c>
    </row>
    <row r="20" spans="1:13">
      <c r="A20" s="16">
        <v>1019</v>
      </c>
      <c r="B20" s="15">
        <v>45956</v>
      </c>
      <c r="C20" s="16" t="s">
        <v>31</v>
      </c>
      <c r="D20" s="16" t="s">
        <v>26</v>
      </c>
      <c r="E20" s="16" t="s">
        <v>17</v>
      </c>
      <c r="F20" s="16" t="s">
        <v>20</v>
      </c>
      <c r="G20" s="16">
        <v>12</v>
      </c>
      <c r="H20" s="17">
        <v>8500</v>
      </c>
      <c r="I20" s="23">
        <v>0.05</v>
      </c>
      <c r="J20" s="28">
        <f>Table2[[#This Row],[Quantity]]*Table2[[#This Row],[Unit_Price]]</f>
        <v>102000</v>
      </c>
      <c r="K20" s="31">
        <f t="shared" si="0"/>
        <v>96900</v>
      </c>
      <c r="L20" s="31">
        <f>Table2[[#This Row],[gross sales]]-Table2[[#This Row],[net sale]]</f>
        <v>5100</v>
      </c>
      <c r="M20" s="36" t="str">
        <f>TEXT(B20,"mmm")</f>
        <v>Oct</v>
      </c>
    </row>
    <row r="21" spans="1:13">
      <c r="A21" s="19">
        <v>1020</v>
      </c>
      <c r="B21" s="18">
        <v>45704</v>
      </c>
      <c r="C21" s="19" t="s">
        <v>35</v>
      </c>
      <c r="D21" s="19" t="s">
        <v>36</v>
      </c>
      <c r="E21" s="19" t="s">
        <v>17</v>
      </c>
      <c r="F21" s="19" t="s">
        <v>32</v>
      </c>
      <c r="G21" s="19">
        <v>2</v>
      </c>
      <c r="H21" s="20">
        <v>3500</v>
      </c>
      <c r="I21" s="24">
        <v>0</v>
      </c>
      <c r="J21" s="28">
        <f>Table2[[#This Row],[Quantity]]*Table2[[#This Row],[Unit_Price]]</f>
        <v>7000</v>
      </c>
      <c r="K21" s="31">
        <f t="shared" si="0"/>
        <v>7000</v>
      </c>
      <c r="L21" s="31">
        <f>Table2[[#This Row],[gross sales]]-Table2[[#This Row],[net sale]]</f>
        <v>0</v>
      </c>
      <c r="M21" s="37" t="str">
        <f>TEXT(B21,"mmm")</f>
        <v>Feb</v>
      </c>
    </row>
    <row r="22" spans="1:13">
      <c r="A22" s="16">
        <v>1021</v>
      </c>
      <c r="B22" s="15">
        <v>46006</v>
      </c>
      <c r="C22" s="16" t="s">
        <v>31</v>
      </c>
      <c r="D22" s="16" t="s">
        <v>26</v>
      </c>
      <c r="E22" s="16" t="s">
        <v>22</v>
      </c>
      <c r="F22" s="16" t="s">
        <v>15</v>
      </c>
      <c r="G22" s="16">
        <v>20</v>
      </c>
      <c r="H22" s="17">
        <v>8500</v>
      </c>
      <c r="I22" s="23">
        <v>0</v>
      </c>
      <c r="J22" s="28">
        <f>Table2[[#This Row],[Quantity]]*Table2[[#This Row],[Unit_Price]]</f>
        <v>170000</v>
      </c>
      <c r="K22" s="31">
        <f t="shared" si="0"/>
        <v>170000</v>
      </c>
      <c r="L22" s="31">
        <f>Table2[[#This Row],[gross sales]]-Table2[[#This Row],[net sale]]</f>
        <v>0</v>
      </c>
      <c r="M22" s="36" t="str">
        <f>TEXT(B22,"mmm")</f>
        <v>Dec</v>
      </c>
    </row>
    <row r="23" spans="1:13">
      <c r="A23" s="19">
        <v>1022</v>
      </c>
      <c r="B23" s="18">
        <v>45963</v>
      </c>
      <c r="C23" s="19" t="s">
        <v>34</v>
      </c>
      <c r="D23" s="19" t="s">
        <v>26</v>
      </c>
      <c r="E23" s="19" t="s">
        <v>14</v>
      </c>
      <c r="F23" s="19" t="s">
        <v>24</v>
      </c>
      <c r="G23" s="19">
        <v>17</v>
      </c>
      <c r="H23" s="20">
        <v>15000</v>
      </c>
      <c r="I23" s="24">
        <v>0.08</v>
      </c>
      <c r="J23" s="28">
        <f>Table2[[#This Row],[Quantity]]*Table2[[#This Row],[Unit_Price]]</f>
        <v>255000</v>
      </c>
      <c r="K23" s="31">
        <f t="shared" si="0"/>
        <v>234600</v>
      </c>
      <c r="L23" s="31">
        <f>Table2[[#This Row],[gross sales]]-Table2[[#This Row],[net sale]]</f>
        <v>20400</v>
      </c>
      <c r="M23" s="37" t="str">
        <f>TEXT(B23,"mmm")</f>
        <v>Nov</v>
      </c>
    </row>
    <row r="24" spans="1:13">
      <c r="A24" s="16">
        <v>1023</v>
      </c>
      <c r="B24" s="15">
        <v>46007</v>
      </c>
      <c r="C24" s="16" t="s">
        <v>37</v>
      </c>
      <c r="D24" s="16" t="s">
        <v>36</v>
      </c>
      <c r="E24" s="16" t="s">
        <v>11</v>
      </c>
      <c r="F24" s="16" t="s">
        <v>24</v>
      </c>
      <c r="G24" s="16">
        <v>18</v>
      </c>
      <c r="H24" s="17">
        <v>1800</v>
      </c>
      <c r="I24" s="23">
        <v>0.08</v>
      </c>
      <c r="J24" s="28">
        <f>Table2[[#This Row],[Quantity]]*Table2[[#This Row],[Unit_Price]]</f>
        <v>32400</v>
      </c>
      <c r="K24" s="31">
        <f t="shared" si="0"/>
        <v>29808</v>
      </c>
      <c r="L24" s="31">
        <f>Table2[[#This Row],[gross sales]]-Table2[[#This Row],[net sale]]</f>
        <v>2592</v>
      </c>
      <c r="M24" s="36" t="str">
        <f>TEXT(B24,"mmm")</f>
        <v>Dec</v>
      </c>
    </row>
    <row r="25" spans="1:13">
      <c r="A25" s="19">
        <v>1024</v>
      </c>
      <c r="B25" s="18">
        <v>45808</v>
      </c>
      <c r="C25" s="19" t="s">
        <v>31</v>
      </c>
      <c r="D25" s="19" t="s">
        <v>26</v>
      </c>
      <c r="E25" s="19" t="s">
        <v>14</v>
      </c>
      <c r="F25" s="19" t="s">
        <v>27</v>
      </c>
      <c r="G25" s="19">
        <v>6</v>
      </c>
      <c r="H25" s="20">
        <v>8500</v>
      </c>
      <c r="I25" s="24">
        <v>0.1</v>
      </c>
      <c r="J25" s="28">
        <f>Table2[[#This Row],[Quantity]]*Table2[[#This Row],[Unit_Price]]</f>
        <v>51000</v>
      </c>
      <c r="K25" s="31">
        <f t="shared" si="0"/>
        <v>45900</v>
      </c>
      <c r="L25" s="31">
        <f>Table2[[#This Row],[gross sales]]-Table2[[#This Row],[net sale]]</f>
        <v>5100</v>
      </c>
      <c r="M25" s="37" t="str">
        <f>TEXT(B25,"mmm")</f>
        <v>May</v>
      </c>
    </row>
    <row r="26" spans="1:13">
      <c r="A26" s="16">
        <v>1025</v>
      </c>
      <c r="B26" s="15">
        <v>45914</v>
      </c>
      <c r="C26" s="16" t="s">
        <v>35</v>
      </c>
      <c r="D26" s="16" t="s">
        <v>36</v>
      </c>
      <c r="E26" s="16" t="s">
        <v>14</v>
      </c>
      <c r="F26" s="16" t="s">
        <v>27</v>
      </c>
      <c r="G26" s="16">
        <v>6</v>
      </c>
      <c r="H26" s="17">
        <v>3500</v>
      </c>
      <c r="I26" s="23">
        <v>0.12</v>
      </c>
      <c r="J26" s="28">
        <f>Table2[[#This Row],[Quantity]]*Table2[[#This Row],[Unit_Price]]</f>
        <v>21000</v>
      </c>
      <c r="K26" s="31">
        <f t="shared" si="0"/>
        <v>18480</v>
      </c>
      <c r="L26" s="31">
        <f>Table2[[#This Row],[gross sales]]-Table2[[#This Row],[net sale]]</f>
        <v>2520</v>
      </c>
      <c r="M26" s="36" t="str">
        <f>TEXT(B26,"mmm")</f>
        <v>Sep</v>
      </c>
    </row>
    <row r="27" spans="1:13">
      <c r="A27" s="19">
        <v>1026</v>
      </c>
      <c r="B27" s="18">
        <v>45985</v>
      </c>
      <c r="C27" s="19" t="s">
        <v>25</v>
      </c>
      <c r="D27" s="19" t="s">
        <v>26</v>
      </c>
      <c r="E27" s="19" t="s">
        <v>17</v>
      </c>
      <c r="F27" s="19" t="s">
        <v>23</v>
      </c>
      <c r="G27" s="19">
        <v>20</v>
      </c>
      <c r="H27" s="20">
        <v>11000</v>
      </c>
      <c r="I27" s="24">
        <v>0.05</v>
      </c>
      <c r="J27" s="28">
        <f>Table2[[#This Row],[Quantity]]*Table2[[#This Row],[Unit_Price]]</f>
        <v>220000</v>
      </c>
      <c r="K27" s="31">
        <f t="shared" si="0"/>
        <v>209000</v>
      </c>
      <c r="L27" s="31">
        <f>Table2[[#This Row],[gross sales]]-Table2[[#This Row],[net sale]]</f>
        <v>11000</v>
      </c>
      <c r="M27" s="37" t="str">
        <f>TEXT(B27,"mmm")</f>
        <v>Nov</v>
      </c>
    </row>
    <row r="28" spans="1:13">
      <c r="A28" s="16">
        <v>1027</v>
      </c>
      <c r="B28" s="15">
        <v>45740</v>
      </c>
      <c r="C28" s="16" t="s">
        <v>25</v>
      </c>
      <c r="D28" s="16" t="s">
        <v>26</v>
      </c>
      <c r="E28" s="16" t="s">
        <v>11</v>
      </c>
      <c r="F28" s="16" t="s">
        <v>20</v>
      </c>
      <c r="G28" s="16">
        <v>17</v>
      </c>
      <c r="H28" s="17">
        <v>11000</v>
      </c>
      <c r="I28" s="23">
        <v>0</v>
      </c>
      <c r="J28" s="28">
        <f>Table2[[#This Row],[Quantity]]*Table2[[#This Row],[Unit_Price]]</f>
        <v>187000</v>
      </c>
      <c r="K28" s="31">
        <f t="shared" si="0"/>
        <v>187000</v>
      </c>
      <c r="L28" s="31">
        <f>Table2[[#This Row],[gross sales]]-Table2[[#This Row],[net sale]]</f>
        <v>0</v>
      </c>
      <c r="M28" s="36" t="str">
        <f>TEXT(B28,"mmm")</f>
        <v>Mar</v>
      </c>
    </row>
    <row r="29" spans="1:13">
      <c r="A29" s="19">
        <v>1028</v>
      </c>
      <c r="B29" s="18">
        <v>45667</v>
      </c>
      <c r="C29" s="19" t="s">
        <v>9</v>
      </c>
      <c r="D29" s="19" t="s">
        <v>10</v>
      </c>
      <c r="E29" s="19" t="s">
        <v>17</v>
      </c>
      <c r="F29" s="19" t="s">
        <v>18</v>
      </c>
      <c r="G29" s="19">
        <v>12</v>
      </c>
      <c r="H29" s="20">
        <v>18000</v>
      </c>
      <c r="I29" s="24">
        <v>0.08</v>
      </c>
      <c r="J29" s="28">
        <f>Table2[[#This Row],[Quantity]]*Table2[[#This Row],[Unit_Price]]</f>
        <v>216000</v>
      </c>
      <c r="K29" s="31">
        <f t="shared" si="0"/>
        <v>198720</v>
      </c>
      <c r="L29" s="31">
        <f>Table2[[#This Row],[gross sales]]-Table2[[#This Row],[net sale]]</f>
        <v>17280</v>
      </c>
      <c r="M29" s="37" t="str">
        <f>TEXT(B29,"mmm")</f>
        <v>Jan</v>
      </c>
    </row>
    <row r="30" spans="1:13">
      <c r="A30" s="16">
        <v>1029</v>
      </c>
      <c r="B30" s="15">
        <v>45781</v>
      </c>
      <c r="C30" s="16" t="s">
        <v>37</v>
      </c>
      <c r="D30" s="16" t="s">
        <v>36</v>
      </c>
      <c r="E30" s="16" t="s">
        <v>14</v>
      </c>
      <c r="F30" s="16" t="s">
        <v>20</v>
      </c>
      <c r="G30" s="16">
        <v>19</v>
      </c>
      <c r="H30" s="17">
        <v>1800</v>
      </c>
      <c r="I30" s="23">
        <v>0</v>
      </c>
      <c r="J30" s="28">
        <f>Table2[[#This Row],[Quantity]]*Table2[[#This Row],[Unit_Price]]</f>
        <v>34200</v>
      </c>
      <c r="K30" s="31">
        <f t="shared" si="0"/>
        <v>34200</v>
      </c>
      <c r="L30" s="31">
        <f>Table2[[#This Row],[gross sales]]-Table2[[#This Row],[net sale]]</f>
        <v>0</v>
      </c>
      <c r="M30" s="36" t="str">
        <f>TEXT(B30,"mmm")</f>
        <v>May</v>
      </c>
    </row>
    <row r="31" spans="1:13">
      <c r="A31" s="19">
        <v>1030</v>
      </c>
      <c r="B31" s="18">
        <v>45693</v>
      </c>
      <c r="C31" s="19" t="s">
        <v>35</v>
      </c>
      <c r="D31" s="19" t="s">
        <v>36</v>
      </c>
      <c r="E31" s="19" t="s">
        <v>17</v>
      </c>
      <c r="F31" s="19" t="s">
        <v>20</v>
      </c>
      <c r="G31" s="19">
        <v>18</v>
      </c>
      <c r="H31" s="20">
        <v>3500</v>
      </c>
      <c r="I31" s="24">
        <v>0.05</v>
      </c>
      <c r="J31" s="28">
        <f>Table2[[#This Row],[Quantity]]*Table2[[#This Row],[Unit_Price]]</f>
        <v>63000</v>
      </c>
      <c r="K31" s="31">
        <f t="shared" si="0"/>
        <v>59850</v>
      </c>
      <c r="L31" s="31">
        <f>Table2[[#This Row],[gross sales]]-Table2[[#This Row],[net sale]]</f>
        <v>3150</v>
      </c>
      <c r="M31" s="37" t="str">
        <f>TEXT(B31,"mmm")</f>
        <v>Feb</v>
      </c>
    </row>
    <row r="32" spans="1:13">
      <c r="A32" s="16">
        <v>1031</v>
      </c>
      <c r="B32" s="15">
        <v>45939</v>
      </c>
      <c r="C32" s="16" t="s">
        <v>13</v>
      </c>
      <c r="D32" s="16" t="s">
        <v>10</v>
      </c>
      <c r="E32" s="16" t="s">
        <v>22</v>
      </c>
      <c r="F32" s="16" t="s">
        <v>12</v>
      </c>
      <c r="G32" s="16">
        <v>9</v>
      </c>
      <c r="H32" s="17">
        <v>1200</v>
      </c>
      <c r="I32" s="23">
        <v>0.12</v>
      </c>
      <c r="J32" s="28">
        <f>Table2[[#This Row],[Quantity]]*Table2[[#This Row],[Unit_Price]]</f>
        <v>10800</v>
      </c>
      <c r="K32" s="31">
        <f t="shared" si="0"/>
        <v>9504</v>
      </c>
      <c r="L32" s="31">
        <f>Table2[[#This Row],[gross sales]]-Table2[[#This Row],[net sale]]</f>
        <v>1296</v>
      </c>
      <c r="M32" s="36" t="str">
        <f>TEXT(B32,"mmm")</f>
        <v>Oct</v>
      </c>
    </row>
    <row r="33" spans="1:13">
      <c r="A33" s="19">
        <v>1032</v>
      </c>
      <c r="B33" s="18">
        <v>45934</v>
      </c>
      <c r="C33" s="19" t="s">
        <v>35</v>
      </c>
      <c r="D33" s="19" t="s">
        <v>36</v>
      </c>
      <c r="E33" s="19" t="s">
        <v>11</v>
      </c>
      <c r="F33" s="19" t="s">
        <v>15</v>
      </c>
      <c r="G33" s="19">
        <v>7</v>
      </c>
      <c r="H33" s="20">
        <v>3500</v>
      </c>
      <c r="I33" s="24">
        <v>0.15</v>
      </c>
      <c r="J33" s="28">
        <f>Table2[[#This Row],[Quantity]]*Table2[[#This Row],[Unit_Price]]</f>
        <v>24500</v>
      </c>
      <c r="K33" s="31">
        <f t="shared" si="0"/>
        <v>20825</v>
      </c>
      <c r="L33" s="31">
        <f>Table2[[#This Row],[gross sales]]-Table2[[#This Row],[net sale]]</f>
        <v>3675</v>
      </c>
      <c r="M33" s="37" t="str">
        <f>TEXT(B33,"mmm")</f>
        <v>Oct</v>
      </c>
    </row>
    <row r="34" spans="1:13">
      <c r="A34" s="16">
        <v>1033</v>
      </c>
      <c r="B34" s="15">
        <v>46001</v>
      </c>
      <c r="C34" s="16" t="s">
        <v>29</v>
      </c>
      <c r="D34" s="16" t="s">
        <v>30</v>
      </c>
      <c r="E34" s="16" t="s">
        <v>22</v>
      </c>
      <c r="F34" s="16" t="s">
        <v>24</v>
      </c>
      <c r="G34" s="16">
        <v>12</v>
      </c>
      <c r="H34" s="16">
        <v>250</v>
      </c>
      <c r="I34" s="23">
        <v>0.1</v>
      </c>
      <c r="J34" s="28">
        <f>Table2[[#This Row],[Quantity]]*Table2[[#This Row],[Unit_Price]]</f>
        <v>3000</v>
      </c>
      <c r="K34" s="31">
        <f t="shared" si="0"/>
        <v>2700</v>
      </c>
      <c r="L34" s="31">
        <f>Table2[[#This Row],[gross sales]]-Table2[[#This Row],[net sale]]</f>
        <v>300</v>
      </c>
      <c r="M34" s="36" t="str">
        <f>TEXT(B34,"mmm")</f>
        <v>Dec</v>
      </c>
    </row>
    <row r="35" spans="1:13">
      <c r="A35" s="19">
        <v>1034</v>
      </c>
      <c r="B35" s="18">
        <v>45784</v>
      </c>
      <c r="C35" s="19" t="s">
        <v>19</v>
      </c>
      <c r="D35" s="19" t="s">
        <v>10</v>
      </c>
      <c r="E35" s="19" t="s">
        <v>14</v>
      </c>
      <c r="F35" s="19" t="s">
        <v>12</v>
      </c>
      <c r="G35" s="19">
        <v>3</v>
      </c>
      <c r="H35" s="19">
        <v>800</v>
      </c>
      <c r="I35" s="24">
        <v>0.08</v>
      </c>
      <c r="J35" s="28">
        <f>Table2[[#This Row],[Quantity]]*Table2[[#This Row],[Unit_Price]]</f>
        <v>2400</v>
      </c>
      <c r="K35" s="31">
        <f t="shared" si="0"/>
        <v>2208</v>
      </c>
      <c r="L35" s="31">
        <f>Table2[[#This Row],[gross sales]]-Table2[[#This Row],[net sale]]</f>
        <v>192</v>
      </c>
      <c r="M35" s="37" t="str">
        <f>TEXT(B35,"mmm")</f>
        <v>May</v>
      </c>
    </row>
    <row r="36" spans="1:13">
      <c r="A36" s="16">
        <v>1035</v>
      </c>
      <c r="B36" s="15">
        <v>45959</v>
      </c>
      <c r="C36" s="16" t="s">
        <v>19</v>
      </c>
      <c r="D36" s="16" t="s">
        <v>10</v>
      </c>
      <c r="E36" s="16" t="s">
        <v>14</v>
      </c>
      <c r="F36" s="16" t="s">
        <v>12</v>
      </c>
      <c r="G36" s="16">
        <v>1</v>
      </c>
      <c r="H36" s="16">
        <v>800</v>
      </c>
      <c r="I36" s="23">
        <v>0</v>
      </c>
      <c r="J36" s="28">
        <f>Table2[[#This Row],[Quantity]]*Table2[[#This Row],[Unit_Price]]</f>
        <v>800</v>
      </c>
      <c r="K36" s="31">
        <f t="shared" si="0"/>
        <v>800</v>
      </c>
      <c r="L36" s="31">
        <f>Table2[[#This Row],[gross sales]]-Table2[[#This Row],[net sale]]</f>
        <v>0</v>
      </c>
      <c r="M36" s="36" t="str">
        <f>TEXT(B36,"mmm")</f>
        <v>Oct</v>
      </c>
    </row>
    <row r="37" spans="1:13">
      <c r="A37" s="19">
        <v>1036</v>
      </c>
      <c r="B37" s="18">
        <v>45692</v>
      </c>
      <c r="C37" s="19" t="s">
        <v>37</v>
      </c>
      <c r="D37" s="19" t="s">
        <v>36</v>
      </c>
      <c r="E37" s="19" t="s">
        <v>14</v>
      </c>
      <c r="F37" s="19" t="s">
        <v>12</v>
      </c>
      <c r="G37" s="19">
        <v>2</v>
      </c>
      <c r="H37" s="20">
        <v>1800</v>
      </c>
      <c r="I37" s="24">
        <v>0.08</v>
      </c>
      <c r="J37" s="28">
        <f>Table2[[#This Row],[Quantity]]*Table2[[#This Row],[Unit_Price]]</f>
        <v>3600</v>
      </c>
      <c r="K37" s="31">
        <f t="shared" si="0"/>
        <v>3312</v>
      </c>
      <c r="L37" s="31">
        <f>Table2[[#This Row],[gross sales]]-Table2[[#This Row],[net sale]]</f>
        <v>288</v>
      </c>
      <c r="M37" s="37" t="str">
        <f>TEXT(B37,"mmm")</f>
        <v>Feb</v>
      </c>
    </row>
    <row r="38" spans="1:13">
      <c r="A38" s="16">
        <v>1037</v>
      </c>
      <c r="B38" s="15">
        <v>45800</v>
      </c>
      <c r="C38" s="16" t="s">
        <v>29</v>
      </c>
      <c r="D38" s="16" t="s">
        <v>30</v>
      </c>
      <c r="E38" s="16" t="s">
        <v>17</v>
      </c>
      <c r="F38" s="16" t="s">
        <v>20</v>
      </c>
      <c r="G38" s="16">
        <v>16</v>
      </c>
      <c r="H38" s="16">
        <v>250</v>
      </c>
      <c r="I38" s="23">
        <v>0.05</v>
      </c>
      <c r="J38" s="28">
        <f>Table2[[#This Row],[Quantity]]*Table2[[#This Row],[Unit_Price]]</f>
        <v>4000</v>
      </c>
      <c r="K38" s="31">
        <f t="shared" si="0"/>
        <v>3800</v>
      </c>
      <c r="L38" s="31">
        <f>Table2[[#This Row],[gross sales]]-Table2[[#This Row],[net sale]]</f>
        <v>200</v>
      </c>
      <c r="M38" s="36" t="str">
        <f>TEXT(B38,"mmm")</f>
        <v>May</v>
      </c>
    </row>
    <row r="39" spans="1:13">
      <c r="A39" s="19">
        <v>1038</v>
      </c>
      <c r="B39" s="18">
        <v>45782</v>
      </c>
      <c r="C39" s="19" t="s">
        <v>35</v>
      </c>
      <c r="D39" s="19" t="s">
        <v>36</v>
      </c>
      <c r="E39" s="19" t="s">
        <v>17</v>
      </c>
      <c r="F39" s="19" t="s">
        <v>24</v>
      </c>
      <c r="G39" s="19">
        <v>16</v>
      </c>
      <c r="H39" s="20">
        <v>3500</v>
      </c>
      <c r="I39" s="24">
        <v>0.1</v>
      </c>
      <c r="J39" s="28">
        <f>Table2[[#This Row],[Quantity]]*Table2[[#This Row],[Unit_Price]]</f>
        <v>56000</v>
      </c>
      <c r="K39" s="31">
        <f t="shared" si="0"/>
        <v>50400</v>
      </c>
      <c r="L39" s="31">
        <f>Table2[[#This Row],[gross sales]]-Table2[[#This Row],[net sale]]</f>
        <v>5600</v>
      </c>
      <c r="M39" s="37" t="str">
        <f>TEXT(B39,"mmm")</f>
        <v>May</v>
      </c>
    </row>
    <row r="40" spans="1:13">
      <c r="A40" s="16">
        <v>1039</v>
      </c>
      <c r="B40" s="15">
        <v>45707</v>
      </c>
      <c r="C40" s="16" t="s">
        <v>29</v>
      </c>
      <c r="D40" s="16" t="s">
        <v>30</v>
      </c>
      <c r="E40" s="16" t="s">
        <v>22</v>
      </c>
      <c r="F40" s="16" t="s">
        <v>15</v>
      </c>
      <c r="G40" s="16">
        <v>14</v>
      </c>
      <c r="H40" s="16">
        <v>250</v>
      </c>
      <c r="I40" s="23">
        <v>0.08</v>
      </c>
      <c r="J40" s="28">
        <f>Table2[[#This Row],[Quantity]]*Table2[[#This Row],[Unit_Price]]</f>
        <v>3500</v>
      </c>
      <c r="K40" s="31">
        <f t="shared" si="0"/>
        <v>3220</v>
      </c>
      <c r="L40" s="31">
        <f>Table2[[#This Row],[gross sales]]-Table2[[#This Row],[net sale]]</f>
        <v>280</v>
      </c>
      <c r="M40" s="36" t="str">
        <f>TEXT(B40,"mmm")</f>
        <v>Feb</v>
      </c>
    </row>
    <row r="41" spans="1:13">
      <c r="A41" s="19">
        <v>1040</v>
      </c>
      <c r="B41" s="18">
        <v>45897</v>
      </c>
      <c r="C41" s="19" t="s">
        <v>38</v>
      </c>
      <c r="D41" s="19" t="s">
        <v>10</v>
      </c>
      <c r="E41" s="19" t="s">
        <v>14</v>
      </c>
      <c r="F41" s="19" t="s">
        <v>18</v>
      </c>
      <c r="G41" s="19">
        <v>2</v>
      </c>
      <c r="H41" s="20">
        <v>42000</v>
      </c>
      <c r="I41" s="24">
        <v>0.15</v>
      </c>
      <c r="J41" s="28">
        <f>Table2[[#This Row],[Quantity]]*Table2[[#This Row],[Unit_Price]]</f>
        <v>84000</v>
      </c>
      <c r="K41" s="31">
        <f t="shared" si="0"/>
        <v>71400</v>
      </c>
      <c r="L41" s="31">
        <f>Table2[[#This Row],[gross sales]]-Table2[[#This Row],[net sale]]</f>
        <v>12600</v>
      </c>
      <c r="M41" s="37" t="str">
        <f>TEXT(B41,"mmm")</f>
        <v>Aug</v>
      </c>
    </row>
    <row r="42" spans="1:13">
      <c r="A42" s="16">
        <v>1041</v>
      </c>
      <c r="B42" s="15">
        <v>45864</v>
      </c>
      <c r="C42" s="16" t="s">
        <v>39</v>
      </c>
      <c r="D42" s="16" t="s">
        <v>30</v>
      </c>
      <c r="E42" s="16" t="s">
        <v>17</v>
      </c>
      <c r="F42" s="16" t="s">
        <v>12</v>
      </c>
      <c r="G42" s="16">
        <v>11</v>
      </c>
      <c r="H42" s="16">
        <v>180</v>
      </c>
      <c r="I42" s="23">
        <v>0</v>
      </c>
      <c r="J42" s="28">
        <f>Table2[[#This Row],[Quantity]]*Table2[[#This Row],[Unit_Price]]</f>
        <v>1980</v>
      </c>
      <c r="K42" s="31">
        <f t="shared" si="0"/>
        <v>1980</v>
      </c>
      <c r="L42" s="31">
        <f>Table2[[#This Row],[gross sales]]-Table2[[#This Row],[net sale]]</f>
        <v>0</v>
      </c>
      <c r="M42" s="36" t="str">
        <f>TEXT(B42,"mmm")</f>
        <v>Jul</v>
      </c>
    </row>
    <row r="43" spans="1:13">
      <c r="A43" s="19">
        <v>1042</v>
      </c>
      <c r="B43" s="18">
        <v>45755</v>
      </c>
      <c r="C43" s="19" t="s">
        <v>25</v>
      </c>
      <c r="D43" s="19" t="s">
        <v>26</v>
      </c>
      <c r="E43" s="19" t="s">
        <v>22</v>
      </c>
      <c r="F43" s="19" t="s">
        <v>32</v>
      </c>
      <c r="G43" s="19">
        <v>15</v>
      </c>
      <c r="H43" s="20">
        <v>11000</v>
      </c>
      <c r="I43" s="24">
        <v>0.05</v>
      </c>
      <c r="J43" s="28">
        <f>Table2[[#This Row],[Quantity]]*Table2[[#This Row],[Unit_Price]]</f>
        <v>165000</v>
      </c>
      <c r="K43" s="31">
        <f t="shared" si="0"/>
        <v>156750</v>
      </c>
      <c r="L43" s="31">
        <f>Table2[[#This Row],[gross sales]]-Table2[[#This Row],[net sale]]</f>
        <v>8250</v>
      </c>
      <c r="M43" s="37" t="str">
        <f>TEXT(B43,"mmm")</f>
        <v>Apr</v>
      </c>
    </row>
    <row r="44" spans="1:13">
      <c r="A44" s="16">
        <v>1043</v>
      </c>
      <c r="B44" s="15">
        <v>45800</v>
      </c>
      <c r="C44" s="16" t="s">
        <v>34</v>
      </c>
      <c r="D44" s="16" t="s">
        <v>26</v>
      </c>
      <c r="E44" s="16" t="s">
        <v>22</v>
      </c>
      <c r="F44" s="16" t="s">
        <v>24</v>
      </c>
      <c r="G44" s="16">
        <v>8</v>
      </c>
      <c r="H44" s="17">
        <v>15000</v>
      </c>
      <c r="I44" s="23">
        <v>0</v>
      </c>
      <c r="J44" s="28">
        <f>Table2[[#This Row],[Quantity]]*Table2[[#This Row],[Unit_Price]]</f>
        <v>120000</v>
      </c>
      <c r="K44" s="31">
        <f t="shared" si="0"/>
        <v>120000</v>
      </c>
      <c r="L44" s="31">
        <f>Table2[[#This Row],[gross sales]]-Table2[[#This Row],[net sale]]</f>
        <v>0</v>
      </c>
      <c r="M44" s="36" t="str">
        <f>TEXT(B44,"mmm")</f>
        <v>May</v>
      </c>
    </row>
    <row r="45" spans="1:13">
      <c r="A45" s="19">
        <v>1044</v>
      </c>
      <c r="B45" s="18">
        <v>45683</v>
      </c>
      <c r="C45" s="19" t="s">
        <v>29</v>
      </c>
      <c r="D45" s="19" t="s">
        <v>30</v>
      </c>
      <c r="E45" s="19" t="s">
        <v>14</v>
      </c>
      <c r="F45" s="19" t="s">
        <v>12</v>
      </c>
      <c r="G45" s="19">
        <v>18</v>
      </c>
      <c r="H45" s="19">
        <v>250</v>
      </c>
      <c r="I45" s="24">
        <v>0</v>
      </c>
      <c r="J45" s="28">
        <f>Table2[[#This Row],[Quantity]]*Table2[[#This Row],[Unit_Price]]</f>
        <v>4500</v>
      </c>
      <c r="K45" s="31">
        <f t="shared" si="0"/>
        <v>4500</v>
      </c>
      <c r="L45" s="31">
        <f>Table2[[#This Row],[gross sales]]-Table2[[#This Row],[net sale]]</f>
        <v>0</v>
      </c>
      <c r="M45" s="37" t="str">
        <f>TEXT(B45,"mmm")</f>
        <v>Jan</v>
      </c>
    </row>
    <row r="46" spans="1:13">
      <c r="A46" s="16">
        <v>1045</v>
      </c>
      <c r="B46" s="15">
        <v>45743</v>
      </c>
      <c r="C46" s="16" t="s">
        <v>31</v>
      </c>
      <c r="D46" s="16" t="s">
        <v>26</v>
      </c>
      <c r="E46" s="16" t="s">
        <v>17</v>
      </c>
      <c r="F46" s="16" t="s">
        <v>15</v>
      </c>
      <c r="G46" s="16">
        <v>16</v>
      </c>
      <c r="H46" s="17">
        <v>8500</v>
      </c>
      <c r="I46" s="23">
        <v>0.1</v>
      </c>
      <c r="J46" s="28">
        <f>Table2[[#This Row],[Quantity]]*Table2[[#This Row],[Unit_Price]]</f>
        <v>136000</v>
      </c>
      <c r="K46" s="31">
        <f t="shared" si="0"/>
        <v>122400</v>
      </c>
      <c r="L46" s="31">
        <f>Table2[[#This Row],[gross sales]]-Table2[[#This Row],[net sale]]</f>
        <v>13600</v>
      </c>
      <c r="M46" s="36" t="str">
        <f>TEXT(B46,"mmm")</f>
        <v>Mar</v>
      </c>
    </row>
    <row r="47" spans="1:13">
      <c r="A47" s="19">
        <v>1046</v>
      </c>
      <c r="B47" s="18">
        <v>45688</v>
      </c>
      <c r="C47" s="19" t="s">
        <v>13</v>
      </c>
      <c r="D47" s="19" t="s">
        <v>10</v>
      </c>
      <c r="E47" s="19" t="s">
        <v>22</v>
      </c>
      <c r="F47" s="19" t="s">
        <v>27</v>
      </c>
      <c r="G47" s="19">
        <v>13</v>
      </c>
      <c r="H47" s="20">
        <v>1200</v>
      </c>
      <c r="I47" s="24">
        <v>0</v>
      </c>
      <c r="J47" s="28">
        <f>Table2[[#This Row],[Quantity]]*Table2[[#This Row],[Unit_Price]]</f>
        <v>15600</v>
      </c>
      <c r="K47" s="31">
        <f t="shared" si="0"/>
        <v>15600</v>
      </c>
      <c r="L47" s="31">
        <f>Table2[[#This Row],[gross sales]]-Table2[[#This Row],[net sale]]</f>
        <v>0</v>
      </c>
      <c r="M47" s="37" t="str">
        <f>TEXT(B47,"mmm")</f>
        <v>Jan</v>
      </c>
    </row>
    <row r="48" spans="1:13">
      <c r="A48" s="16">
        <v>1047</v>
      </c>
      <c r="B48" s="15">
        <v>45890</v>
      </c>
      <c r="C48" s="16" t="s">
        <v>21</v>
      </c>
      <c r="D48" s="16" t="s">
        <v>10</v>
      </c>
      <c r="E48" s="16" t="s">
        <v>22</v>
      </c>
      <c r="F48" s="16" t="s">
        <v>32</v>
      </c>
      <c r="G48" s="16">
        <v>14</v>
      </c>
      <c r="H48" s="17">
        <v>14000</v>
      </c>
      <c r="I48" s="23">
        <v>0.15</v>
      </c>
      <c r="J48" s="28">
        <f>Table2[[#This Row],[Quantity]]*Table2[[#This Row],[Unit_Price]]</f>
        <v>196000</v>
      </c>
      <c r="K48" s="31">
        <f t="shared" si="0"/>
        <v>166600</v>
      </c>
      <c r="L48" s="31">
        <f>Table2[[#This Row],[gross sales]]-Table2[[#This Row],[net sale]]</f>
        <v>29400</v>
      </c>
      <c r="M48" s="36" t="str">
        <f>TEXT(B48,"mmm")</f>
        <v>Aug</v>
      </c>
    </row>
    <row r="49" spans="1:13">
      <c r="A49" s="19">
        <v>1048</v>
      </c>
      <c r="B49" s="18">
        <v>45755</v>
      </c>
      <c r="C49" s="19" t="s">
        <v>21</v>
      </c>
      <c r="D49" s="19" t="s">
        <v>10</v>
      </c>
      <c r="E49" s="19" t="s">
        <v>14</v>
      </c>
      <c r="F49" s="19" t="s">
        <v>23</v>
      </c>
      <c r="G49" s="19">
        <v>7</v>
      </c>
      <c r="H49" s="20">
        <v>14000</v>
      </c>
      <c r="I49" s="24">
        <v>0</v>
      </c>
      <c r="J49" s="28">
        <f>Table2[[#This Row],[Quantity]]*Table2[[#This Row],[Unit_Price]]</f>
        <v>98000</v>
      </c>
      <c r="K49" s="31">
        <f t="shared" si="0"/>
        <v>98000</v>
      </c>
      <c r="L49" s="31">
        <f>Table2[[#This Row],[gross sales]]-Table2[[#This Row],[net sale]]</f>
        <v>0</v>
      </c>
      <c r="M49" s="37" t="str">
        <f>TEXT(B49,"mmm")</f>
        <v>Apr</v>
      </c>
    </row>
    <row r="50" spans="1:13">
      <c r="A50" s="16">
        <v>1049</v>
      </c>
      <c r="B50" s="15">
        <v>45687</v>
      </c>
      <c r="C50" s="16" t="s">
        <v>16</v>
      </c>
      <c r="D50" s="16" t="s">
        <v>10</v>
      </c>
      <c r="E50" s="16" t="s">
        <v>17</v>
      </c>
      <c r="F50" s="16" t="s">
        <v>18</v>
      </c>
      <c r="G50" s="16">
        <v>19</v>
      </c>
      <c r="H50" s="17">
        <v>55000</v>
      </c>
      <c r="I50" s="23">
        <v>0.1</v>
      </c>
      <c r="J50" s="28">
        <f>Table2[[#This Row],[Quantity]]*Table2[[#This Row],[Unit_Price]]</f>
        <v>1045000</v>
      </c>
      <c r="K50" s="31">
        <f t="shared" si="0"/>
        <v>940500</v>
      </c>
      <c r="L50" s="31">
        <f>Table2[[#This Row],[gross sales]]-Table2[[#This Row],[net sale]]</f>
        <v>104500</v>
      </c>
      <c r="M50" s="36" t="str">
        <f>TEXT(B50,"mmm")</f>
        <v>Jan</v>
      </c>
    </row>
    <row r="51" spans="1:13">
      <c r="A51" s="19">
        <v>1050</v>
      </c>
      <c r="B51" s="18">
        <v>45918</v>
      </c>
      <c r="C51" s="19" t="s">
        <v>9</v>
      </c>
      <c r="D51" s="19" t="s">
        <v>10</v>
      </c>
      <c r="E51" s="19" t="s">
        <v>14</v>
      </c>
      <c r="F51" s="19" t="s">
        <v>12</v>
      </c>
      <c r="G51" s="19">
        <v>6</v>
      </c>
      <c r="H51" s="20">
        <v>18000</v>
      </c>
      <c r="I51" s="24">
        <v>0</v>
      </c>
      <c r="J51" s="28">
        <f>Table2[[#This Row],[Quantity]]*Table2[[#This Row],[Unit_Price]]</f>
        <v>108000</v>
      </c>
      <c r="K51" s="31">
        <f t="shared" si="0"/>
        <v>108000</v>
      </c>
      <c r="L51" s="31">
        <f>Table2[[#This Row],[gross sales]]-Table2[[#This Row],[net sale]]</f>
        <v>0</v>
      </c>
      <c r="M51" s="37" t="str">
        <f>TEXT(B51,"mmm")</f>
        <v>Sep</v>
      </c>
    </row>
    <row r="52" spans="1:13">
      <c r="A52" s="16">
        <v>1051</v>
      </c>
      <c r="B52" s="15">
        <v>45864</v>
      </c>
      <c r="C52" s="16" t="s">
        <v>9</v>
      </c>
      <c r="D52" s="16" t="s">
        <v>10</v>
      </c>
      <c r="E52" s="16" t="s">
        <v>14</v>
      </c>
      <c r="F52" s="16" t="s">
        <v>24</v>
      </c>
      <c r="G52" s="16">
        <v>19</v>
      </c>
      <c r="H52" s="17">
        <v>18000</v>
      </c>
      <c r="I52" s="23">
        <v>0.05</v>
      </c>
      <c r="J52" s="28">
        <f>Table2[[#This Row],[Quantity]]*Table2[[#This Row],[Unit_Price]]</f>
        <v>342000</v>
      </c>
      <c r="K52" s="31">
        <f t="shared" si="0"/>
        <v>324900</v>
      </c>
      <c r="L52" s="31">
        <f>Table2[[#This Row],[gross sales]]-Table2[[#This Row],[net sale]]</f>
        <v>17100</v>
      </c>
      <c r="M52" s="36" t="str">
        <f>TEXT(B52,"mmm")</f>
        <v>Jul</v>
      </c>
    </row>
    <row r="53" spans="1:13">
      <c r="A53" s="19">
        <v>1052</v>
      </c>
      <c r="B53" s="18">
        <v>45872</v>
      </c>
      <c r="C53" s="19" t="s">
        <v>29</v>
      </c>
      <c r="D53" s="19" t="s">
        <v>30</v>
      </c>
      <c r="E53" s="19" t="s">
        <v>11</v>
      </c>
      <c r="F53" s="19" t="s">
        <v>27</v>
      </c>
      <c r="G53" s="19">
        <v>19</v>
      </c>
      <c r="H53" s="19">
        <v>250</v>
      </c>
      <c r="I53" s="24">
        <v>0.12</v>
      </c>
      <c r="J53" s="28">
        <f>Table2[[#This Row],[Quantity]]*Table2[[#This Row],[Unit_Price]]</f>
        <v>4750</v>
      </c>
      <c r="K53" s="31">
        <f t="shared" si="0"/>
        <v>4180</v>
      </c>
      <c r="L53" s="31">
        <f>Table2[[#This Row],[gross sales]]-Table2[[#This Row],[net sale]]</f>
        <v>570</v>
      </c>
      <c r="M53" s="37" t="str">
        <f>TEXT(B53,"mmm")</f>
        <v>Aug</v>
      </c>
    </row>
    <row r="54" spans="1:13">
      <c r="A54" s="16">
        <v>1053</v>
      </c>
      <c r="B54" s="15">
        <v>45762</v>
      </c>
      <c r="C54" s="16" t="s">
        <v>29</v>
      </c>
      <c r="D54" s="16" t="s">
        <v>30</v>
      </c>
      <c r="E54" s="16" t="s">
        <v>11</v>
      </c>
      <c r="F54" s="16" t="s">
        <v>15</v>
      </c>
      <c r="G54" s="16">
        <v>11</v>
      </c>
      <c r="H54" s="16">
        <v>250</v>
      </c>
      <c r="I54" s="23">
        <v>0.05</v>
      </c>
      <c r="J54" s="28">
        <f>Table2[[#This Row],[Quantity]]*Table2[[#This Row],[Unit_Price]]</f>
        <v>2750</v>
      </c>
      <c r="K54" s="31">
        <f t="shared" si="0"/>
        <v>2612.5</v>
      </c>
      <c r="L54" s="31">
        <f>Table2[[#This Row],[gross sales]]-Table2[[#This Row],[net sale]]</f>
        <v>137.5</v>
      </c>
      <c r="M54" s="36" t="str">
        <f>TEXT(B54,"mmm")</f>
        <v>Apr</v>
      </c>
    </row>
    <row r="55" spans="1:13">
      <c r="A55" s="19">
        <v>1054</v>
      </c>
      <c r="B55" s="18">
        <v>45725</v>
      </c>
      <c r="C55" s="19" t="s">
        <v>29</v>
      </c>
      <c r="D55" s="19" t="s">
        <v>30</v>
      </c>
      <c r="E55" s="19" t="s">
        <v>11</v>
      </c>
      <c r="F55" s="19" t="s">
        <v>24</v>
      </c>
      <c r="G55" s="19">
        <v>10</v>
      </c>
      <c r="H55" s="19">
        <v>250</v>
      </c>
      <c r="I55" s="24">
        <v>0.1</v>
      </c>
      <c r="J55" s="28">
        <f>Table2[[#This Row],[Quantity]]*Table2[[#This Row],[Unit_Price]]</f>
        <v>2500</v>
      </c>
      <c r="K55" s="31">
        <f t="shared" si="0"/>
        <v>2250</v>
      </c>
      <c r="L55" s="31">
        <f>Table2[[#This Row],[gross sales]]-Table2[[#This Row],[net sale]]</f>
        <v>250</v>
      </c>
      <c r="M55" s="37" t="str">
        <f>TEXT(B55,"mmm")</f>
        <v>Mar</v>
      </c>
    </row>
    <row r="56" spans="1:13">
      <c r="A56" s="16">
        <v>1055</v>
      </c>
      <c r="B56" s="15">
        <v>45662</v>
      </c>
      <c r="C56" s="16" t="s">
        <v>34</v>
      </c>
      <c r="D56" s="16" t="s">
        <v>26</v>
      </c>
      <c r="E56" s="16" t="s">
        <v>14</v>
      </c>
      <c r="F56" s="16" t="s">
        <v>24</v>
      </c>
      <c r="G56" s="16">
        <v>20</v>
      </c>
      <c r="H56" s="17">
        <v>15000</v>
      </c>
      <c r="I56" s="23">
        <v>0.12</v>
      </c>
      <c r="J56" s="28">
        <f>Table2[[#This Row],[Quantity]]*Table2[[#This Row],[Unit_Price]]</f>
        <v>300000</v>
      </c>
      <c r="K56" s="31">
        <f t="shared" si="0"/>
        <v>264000</v>
      </c>
      <c r="L56" s="31">
        <f>Table2[[#This Row],[gross sales]]-Table2[[#This Row],[net sale]]</f>
        <v>36000</v>
      </c>
      <c r="M56" s="36" t="str">
        <f>TEXT(B56,"mmm")</f>
        <v>Jan</v>
      </c>
    </row>
    <row r="57" spans="1:13">
      <c r="A57" s="19">
        <v>1056</v>
      </c>
      <c r="B57" s="18">
        <v>45933</v>
      </c>
      <c r="C57" s="19" t="s">
        <v>19</v>
      </c>
      <c r="D57" s="19" t="s">
        <v>10</v>
      </c>
      <c r="E57" s="19" t="s">
        <v>17</v>
      </c>
      <c r="F57" s="19" t="s">
        <v>23</v>
      </c>
      <c r="G57" s="19">
        <v>17</v>
      </c>
      <c r="H57" s="19">
        <v>800</v>
      </c>
      <c r="I57" s="24">
        <v>0.08</v>
      </c>
      <c r="J57" s="28">
        <f>Table2[[#This Row],[Quantity]]*Table2[[#This Row],[Unit_Price]]</f>
        <v>13600</v>
      </c>
      <c r="K57" s="31">
        <f t="shared" si="0"/>
        <v>12512</v>
      </c>
      <c r="L57" s="31">
        <f>Table2[[#This Row],[gross sales]]-Table2[[#This Row],[net sale]]</f>
        <v>1088</v>
      </c>
      <c r="M57" s="37" t="str">
        <f>TEXT(B57,"mmm")</f>
        <v>Oct</v>
      </c>
    </row>
    <row r="58" spans="1:13">
      <c r="A58" s="16">
        <v>1057</v>
      </c>
      <c r="B58" s="15">
        <v>45693</v>
      </c>
      <c r="C58" s="16" t="s">
        <v>37</v>
      </c>
      <c r="D58" s="16" t="s">
        <v>36</v>
      </c>
      <c r="E58" s="16" t="s">
        <v>11</v>
      </c>
      <c r="F58" s="16" t="s">
        <v>32</v>
      </c>
      <c r="G58" s="16">
        <v>8</v>
      </c>
      <c r="H58" s="17">
        <v>1800</v>
      </c>
      <c r="I58" s="23">
        <v>0.08</v>
      </c>
      <c r="J58" s="28">
        <f>Table2[[#This Row],[Quantity]]*Table2[[#This Row],[Unit_Price]]</f>
        <v>14400</v>
      </c>
      <c r="K58" s="31">
        <f t="shared" si="0"/>
        <v>13248</v>
      </c>
      <c r="L58" s="31">
        <f>Table2[[#This Row],[gross sales]]-Table2[[#This Row],[net sale]]</f>
        <v>1152</v>
      </c>
      <c r="M58" s="36" t="str">
        <f>TEXT(B58,"mmm")</f>
        <v>Feb</v>
      </c>
    </row>
    <row r="59" spans="1:13">
      <c r="A59" s="19">
        <v>1058</v>
      </c>
      <c r="B59" s="18">
        <v>45882</v>
      </c>
      <c r="C59" s="19" t="s">
        <v>38</v>
      </c>
      <c r="D59" s="19" t="s">
        <v>10</v>
      </c>
      <c r="E59" s="19" t="s">
        <v>11</v>
      </c>
      <c r="F59" s="19" t="s">
        <v>18</v>
      </c>
      <c r="G59" s="19">
        <v>18</v>
      </c>
      <c r="H59" s="20">
        <v>42000</v>
      </c>
      <c r="I59" s="24">
        <v>0.15</v>
      </c>
      <c r="J59" s="28">
        <f>Table2[[#This Row],[Quantity]]*Table2[[#This Row],[Unit_Price]]</f>
        <v>756000</v>
      </c>
      <c r="K59" s="31">
        <f t="shared" si="0"/>
        <v>642600</v>
      </c>
      <c r="L59" s="31">
        <f>Table2[[#This Row],[gross sales]]-Table2[[#This Row],[net sale]]</f>
        <v>113400</v>
      </c>
      <c r="M59" s="37" t="str">
        <f>TEXT(B59,"mmm")</f>
        <v>Aug</v>
      </c>
    </row>
    <row r="60" spans="1:13">
      <c r="A60" s="16">
        <v>1059</v>
      </c>
      <c r="B60" s="15">
        <v>45999</v>
      </c>
      <c r="C60" s="16" t="s">
        <v>38</v>
      </c>
      <c r="D60" s="16" t="s">
        <v>10</v>
      </c>
      <c r="E60" s="16" t="s">
        <v>14</v>
      </c>
      <c r="F60" s="16" t="s">
        <v>32</v>
      </c>
      <c r="G60" s="16">
        <v>18</v>
      </c>
      <c r="H60" s="17">
        <v>42000</v>
      </c>
      <c r="I60" s="23">
        <v>0.08</v>
      </c>
      <c r="J60" s="28">
        <f>Table2[[#This Row],[Quantity]]*Table2[[#This Row],[Unit_Price]]</f>
        <v>756000</v>
      </c>
      <c r="K60" s="31">
        <f t="shared" si="0"/>
        <v>695520</v>
      </c>
      <c r="L60" s="31">
        <f>Table2[[#This Row],[gross sales]]-Table2[[#This Row],[net sale]]</f>
        <v>60480</v>
      </c>
      <c r="M60" s="36" t="str">
        <f>TEXT(B60,"mmm")</f>
        <v>Dec</v>
      </c>
    </row>
    <row r="61" spans="1:13">
      <c r="A61" s="19">
        <v>1060</v>
      </c>
      <c r="B61" s="18">
        <v>45793</v>
      </c>
      <c r="C61" s="19" t="s">
        <v>9</v>
      </c>
      <c r="D61" s="19" t="s">
        <v>10</v>
      </c>
      <c r="E61" s="19" t="s">
        <v>17</v>
      </c>
      <c r="F61" s="19" t="s">
        <v>27</v>
      </c>
      <c r="G61" s="19">
        <v>4</v>
      </c>
      <c r="H61" s="20">
        <v>18000</v>
      </c>
      <c r="I61" s="24">
        <v>0.15</v>
      </c>
      <c r="J61" s="28">
        <f>Table2[[#This Row],[Quantity]]*Table2[[#This Row],[Unit_Price]]</f>
        <v>72000</v>
      </c>
      <c r="K61" s="31">
        <f t="shared" si="0"/>
        <v>61200</v>
      </c>
      <c r="L61" s="31">
        <f>Table2[[#This Row],[gross sales]]-Table2[[#This Row],[net sale]]</f>
        <v>10800</v>
      </c>
      <c r="M61" s="37" t="str">
        <f>TEXT(B61,"mmm")</f>
        <v>May</v>
      </c>
    </row>
    <row r="62" spans="1:13">
      <c r="A62" s="16">
        <v>1061</v>
      </c>
      <c r="B62" s="15">
        <v>45802</v>
      </c>
      <c r="C62" s="16" t="s">
        <v>28</v>
      </c>
      <c r="D62" s="16" t="s">
        <v>26</v>
      </c>
      <c r="E62" s="16" t="s">
        <v>11</v>
      </c>
      <c r="F62" s="16" t="s">
        <v>12</v>
      </c>
      <c r="G62" s="16">
        <v>7</v>
      </c>
      <c r="H62" s="17">
        <v>9000</v>
      </c>
      <c r="I62" s="23">
        <v>0.15</v>
      </c>
      <c r="J62" s="28">
        <f>Table2[[#This Row],[Quantity]]*Table2[[#This Row],[Unit_Price]]</f>
        <v>63000</v>
      </c>
      <c r="K62" s="31">
        <f t="shared" si="0"/>
        <v>53550</v>
      </c>
      <c r="L62" s="31">
        <f>Table2[[#This Row],[gross sales]]-Table2[[#This Row],[net sale]]</f>
        <v>9450</v>
      </c>
      <c r="M62" s="36" t="str">
        <f>TEXT(B62,"mmm")</f>
        <v>May</v>
      </c>
    </row>
    <row r="63" spans="1:13">
      <c r="A63" s="19">
        <v>1062</v>
      </c>
      <c r="B63" s="18">
        <v>46009</v>
      </c>
      <c r="C63" s="19" t="s">
        <v>29</v>
      </c>
      <c r="D63" s="19" t="s">
        <v>30</v>
      </c>
      <c r="E63" s="19" t="s">
        <v>22</v>
      </c>
      <c r="F63" s="19" t="s">
        <v>27</v>
      </c>
      <c r="G63" s="19">
        <v>9</v>
      </c>
      <c r="H63" s="19">
        <v>250</v>
      </c>
      <c r="I63" s="24">
        <v>0.12</v>
      </c>
      <c r="J63" s="28">
        <f>Table2[[#This Row],[Quantity]]*Table2[[#This Row],[Unit_Price]]</f>
        <v>2250</v>
      </c>
      <c r="K63" s="31">
        <f t="shared" si="0"/>
        <v>1980</v>
      </c>
      <c r="L63" s="31">
        <f>Table2[[#This Row],[gross sales]]-Table2[[#This Row],[net sale]]</f>
        <v>270</v>
      </c>
      <c r="M63" s="37" t="str">
        <f>TEXT(B63,"mmm")</f>
        <v>Dec</v>
      </c>
    </row>
    <row r="64" spans="1:13">
      <c r="A64" s="16">
        <v>1063</v>
      </c>
      <c r="B64" s="15">
        <v>45684</v>
      </c>
      <c r="C64" s="16" t="s">
        <v>9</v>
      </c>
      <c r="D64" s="16" t="s">
        <v>10</v>
      </c>
      <c r="E64" s="16" t="s">
        <v>14</v>
      </c>
      <c r="F64" s="16" t="s">
        <v>18</v>
      </c>
      <c r="G64" s="16">
        <v>14</v>
      </c>
      <c r="H64" s="17">
        <v>18000</v>
      </c>
      <c r="I64" s="23">
        <v>0.08</v>
      </c>
      <c r="J64" s="28">
        <f>Table2[[#This Row],[Quantity]]*Table2[[#This Row],[Unit_Price]]</f>
        <v>252000</v>
      </c>
      <c r="K64" s="31">
        <f t="shared" si="0"/>
        <v>231840</v>
      </c>
      <c r="L64" s="31">
        <f>Table2[[#This Row],[gross sales]]-Table2[[#This Row],[net sale]]</f>
        <v>20160</v>
      </c>
      <c r="M64" s="36" t="str">
        <f>TEXT(B64,"mmm")</f>
        <v>Jan</v>
      </c>
    </row>
    <row r="65" spans="1:13">
      <c r="A65" s="19">
        <v>1064</v>
      </c>
      <c r="B65" s="18">
        <v>45828</v>
      </c>
      <c r="C65" s="19" t="s">
        <v>35</v>
      </c>
      <c r="D65" s="19" t="s">
        <v>36</v>
      </c>
      <c r="E65" s="19" t="s">
        <v>11</v>
      </c>
      <c r="F65" s="19" t="s">
        <v>32</v>
      </c>
      <c r="G65" s="19">
        <v>5</v>
      </c>
      <c r="H65" s="20">
        <v>3500</v>
      </c>
      <c r="I65" s="24">
        <v>0.15</v>
      </c>
      <c r="J65" s="28">
        <f>Table2[[#This Row],[Quantity]]*Table2[[#This Row],[Unit_Price]]</f>
        <v>17500</v>
      </c>
      <c r="K65" s="31">
        <f t="shared" si="0"/>
        <v>14875</v>
      </c>
      <c r="L65" s="31">
        <f>Table2[[#This Row],[gross sales]]-Table2[[#This Row],[net sale]]</f>
        <v>2625</v>
      </c>
      <c r="M65" s="37" t="str">
        <f>TEXT(B65,"mmm")</f>
        <v>Jun</v>
      </c>
    </row>
    <row r="66" spans="1:13">
      <c r="A66" s="16">
        <v>1065</v>
      </c>
      <c r="B66" s="15">
        <v>45884</v>
      </c>
      <c r="C66" s="16" t="s">
        <v>25</v>
      </c>
      <c r="D66" s="16" t="s">
        <v>26</v>
      </c>
      <c r="E66" s="16" t="s">
        <v>14</v>
      </c>
      <c r="F66" s="16" t="s">
        <v>24</v>
      </c>
      <c r="G66" s="16">
        <v>14</v>
      </c>
      <c r="H66" s="17">
        <v>11000</v>
      </c>
      <c r="I66" s="23">
        <v>0.12</v>
      </c>
      <c r="J66" s="28">
        <f>Table2[[#This Row],[Quantity]]*Table2[[#This Row],[Unit_Price]]</f>
        <v>154000</v>
      </c>
      <c r="K66" s="31">
        <f t="shared" ref="K66:K129" si="1">J66*(1-I66)</f>
        <v>135520</v>
      </c>
      <c r="L66" s="31">
        <f>Table2[[#This Row],[gross sales]]-Table2[[#This Row],[net sale]]</f>
        <v>18480</v>
      </c>
      <c r="M66" s="36" t="str">
        <f>TEXT(B66,"mmm")</f>
        <v>Aug</v>
      </c>
    </row>
    <row r="67" spans="1:13">
      <c r="A67" s="19">
        <v>1066</v>
      </c>
      <c r="B67" s="18">
        <v>45696</v>
      </c>
      <c r="C67" s="19" t="s">
        <v>37</v>
      </c>
      <c r="D67" s="19" t="s">
        <v>36</v>
      </c>
      <c r="E67" s="19" t="s">
        <v>14</v>
      </c>
      <c r="F67" s="19" t="s">
        <v>23</v>
      </c>
      <c r="G67" s="19">
        <v>5</v>
      </c>
      <c r="H67" s="20">
        <v>1800</v>
      </c>
      <c r="I67" s="24">
        <v>0.12</v>
      </c>
      <c r="J67" s="28">
        <f>Table2[[#This Row],[Quantity]]*Table2[[#This Row],[Unit_Price]]</f>
        <v>9000</v>
      </c>
      <c r="K67" s="31">
        <f t="shared" si="1"/>
        <v>7920</v>
      </c>
      <c r="L67" s="31">
        <f>Table2[[#This Row],[gross sales]]-Table2[[#This Row],[net sale]]</f>
        <v>1080</v>
      </c>
      <c r="M67" s="37" t="str">
        <f>TEXT(B67,"mmm")</f>
        <v>Feb</v>
      </c>
    </row>
    <row r="68" spans="1:13">
      <c r="A68" s="16">
        <v>1067</v>
      </c>
      <c r="B68" s="15">
        <v>45956</v>
      </c>
      <c r="C68" s="16" t="s">
        <v>25</v>
      </c>
      <c r="D68" s="16" t="s">
        <v>26</v>
      </c>
      <c r="E68" s="16" t="s">
        <v>17</v>
      </c>
      <c r="F68" s="16" t="s">
        <v>18</v>
      </c>
      <c r="G68" s="16">
        <v>5</v>
      </c>
      <c r="H68" s="17">
        <v>11000</v>
      </c>
      <c r="I68" s="23">
        <v>0.1</v>
      </c>
      <c r="J68" s="28">
        <f>Table2[[#This Row],[Quantity]]*Table2[[#This Row],[Unit_Price]]</f>
        <v>55000</v>
      </c>
      <c r="K68" s="31">
        <f t="shared" si="1"/>
        <v>49500</v>
      </c>
      <c r="L68" s="31">
        <f>Table2[[#This Row],[gross sales]]-Table2[[#This Row],[net sale]]</f>
        <v>5500</v>
      </c>
      <c r="M68" s="36" t="str">
        <f>TEXT(B68,"mmm")</f>
        <v>Oct</v>
      </c>
    </row>
    <row r="69" spans="1:13">
      <c r="A69" s="19">
        <v>1068</v>
      </c>
      <c r="B69" s="18">
        <v>45815</v>
      </c>
      <c r="C69" s="19" t="s">
        <v>33</v>
      </c>
      <c r="D69" s="19" t="s">
        <v>10</v>
      </c>
      <c r="E69" s="19" t="s">
        <v>17</v>
      </c>
      <c r="F69" s="19" t="s">
        <v>12</v>
      </c>
      <c r="G69" s="19">
        <v>2</v>
      </c>
      <c r="H69" s="20">
        <v>2500</v>
      </c>
      <c r="I69" s="24">
        <v>0.08</v>
      </c>
      <c r="J69" s="28">
        <f>Table2[[#This Row],[Quantity]]*Table2[[#This Row],[Unit_Price]]</f>
        <v>5000</v>
      </c>
      <c r="K69" s="31">
        <f t="shared" si="1"/>
        <v>4600</v>
      </c>
      <c r="L69" s="31">
        <f>Table2[[#This Row],[gross sales]]-Table2[[#This Row],[net sale]]</f>
        <v>400</v>
      </c>
      <c r="M69" s="37" t="str">
        <f>TEXT(B69,"mmm")</f>
        <v>Jun</v>
      </c>
    </row>
    <row r="70" spans="1:13">
      <c r="A70" s="16">
        <v>1069</v>
      </c>
      <c r="B70" s="15">
        <v>45999</v>
      </c>
      <c r="C70" s="16" t="s">
        <v>9</v>
      </c>
      <c r="D70" s="16" t="s">
        <v>10</v>
      </c>
      <c r="E70" s="16" t="s">
        <v>22</v>
      </c>
      <c r="F70" s="16" t="s">
        <v>32</v>
      </c>
      <c r="G70" s="16">
        <v>12</v>
      </c>
      <c r="H70" s="17">
        <v>18000</v>
      </c>
      <c r="I70" s="23">
        <v>0.12</v>
      </c>
      <c r="J70" s="28">
        <f>Table2[[#This Row],[Quantity]]*Table2[[#This Row],[Unit_Price]]</f>
        <v>216000</v>
      </c>
      <c r="K70" s="31">
        <f t="shared" si="1"/>
        <v>190080</v>
      </c>
      <c r="L70" s="31">
        <f>Table2[[#This Row],[gross sales]]-Table2[[#This Row],[net sale]]</f>
        <v>25920</v>
      </c>
      <c r="M70" s="36" t="str">
        <f>TEXT(B70,"mmm")</f>
        <v>Dec</v>
      </c>
    </row>
    <row r="71" spans="1:13">
      <c r="A71" s="19">
        <v>1070</v>
      </c>
      <c r="B71" s="18">
        <v>45779</v>
      </c>
      <c r="C71" s="19" t="s">
        <v>38</v>
      </c>
      <c r="D71" s="19" t="s">
        <v>10</v>
      </c>
      <c r="E71" s="19" t="s">
        <v>22</v>
      </c>
      <c r="F71" s="19" t="s">
        <v>18</v>
      </c>
      <c r="G71" s="19">
        <v>6</v>
      </c>
      <c r="H71" s="20">
        <v>42000</v>
      </c>
      <c r="I71" s="24">
        <v>0.05</v>
      </c>
      <c r="J71" s="28">
        <f>Table2[[#This Row],[Quantity]]*Table2[[#This Row],[Unit_Price]]</f>
        <v>252000</v>
      </c>
      <c r="K71" s="31">
        <f t="shared" si="1"/>
        <v>239400</v>
      </c>
      <c r="L71" s="31">
        <f>Table2[[#This Row],[gross sales]]-Table2[[#This Row],[net sale]]</f>
        <v>12600</v>
      </c>
      <c r="M71" s="37" t="str">
        <f>TEXT(B71,"mmm")</f>
        <v>May</v>
      </c>
    </row>
    <row r="72" spans="1:13">
      <c r="A72" s="16">
        <v>1071</v>
      </c>
      <c r="B72" s="15">
        <v>45749</v>
      </c>
      <c r="C72" s="16" t="s">
        <v>39</v>
      </c>
      <c r="D72" s="16" t="s">
        <v>30</v>
      </c>
      <c r="E72" s="16" t="s">
        <v>17</v>
      </c>
      <c r="F72" s="16" t="s">
        <v>27</v>
      </c>
      <c r="G72" s="16">
        <v>11</v>
      </c>
      <c r="H72" s="16">
        <v>180</v>
      </c>
      <c r="I72" s="23">
        <v>0.1</v>
      </c>
      <c r="J72" s="28">
        <f>Table2[[#This Row],[Quantity]]*Table2[[#This Row],[Unit_Price]]</f>
        <v>1980</v>
      </c>
      <c r="K72" s="31">
        <f t="shared" si="1"/>
        <v>1782</v>
      </c>
      <c r="L72" s="31">
        <f>Table2[[#This Row],[gross sales]]-Table2[[#This Row],[net sale]]</f>
        <v>198</v>
      </c>
      <c r="M72" s="36" t="str">
        <f>TEXT(B72,"mmm")</f>
        <v>Apr</v>
      </c>
    </row>
    <row r="73" spans="1:13">
      <c r="A73" s="19">
        <v>1072</v>
      </c>
      <c r="B73" s="18">
        <v>45739</v>
      </c>
      <c r="C73" s="19" t="s">
        <v>35</v>
      </c>
      <c r="D73" s="19" t="s">
        <v>36</v>
      </c>
      <c r="E73" s="19" t="s">
        <v>14</v>
      </c>
      <c r="F73" s="19" t="s">
        <v>20</v>
      </c>
      <c r="G73" s="19">
        <v>4</v>
      </c>
      <c r="H73" s="20">
        <v>3500</v>
      </c>
      <c r="I73" s="24">
        <v>0.1</v>
      </c>
      <c r="J73" s="28">
        <f>Table2[[#This Row],[Quantity]]*Table2[[#This Row],[Unit_Price]]</f>
        <v>14000</v>
      </c>
      <c r="K73" s="31">
        <f t="shared" si="1"/>
        <v>12600</v>
      </c>
      <c r="L73" s="31">
        <f>Table2[[#This Row],[gross sales]]-Table2[[#This Row],[net sale]]</f>
        <v>1400</v>
      </c>
      <c r="M73" s="37" t="str">
        <f>TEXT(B73,"mmm")</f>
        <v>Mar</v>
      </c>
    </row>
    <row r="74" spans="1:13">
      <c r="A74" s="16">
        <v>1073</v>
      </c>
      <c r="B74" s="15">
        <v>45771</v>
      </c>
      <c r="C74" s="16" t="s">
        <v>19</v>
      </c>
      <c r="D74" s="16" t="s">
        <v>10</v>
      </c>
      <c r="E74" s="16" t="s">
        <v>11</v>
      </c>
      <c r="F74" s="16" t="s">
        <v>12</v>
      </c>
      <c r="G74" s="16">
        <v>15</v>
      </c>
      <c r="H74" s="16">
        <v>800</v>
      </c>
      <c r="I74" s="23">
        <v>0.08</v>
      </c>
      <c r="J74" s="28">
        <f>Table2[[#This Row],[Quantity]]*Table2[[#This Row],[Unit_Price]]</f>
        <v>12000</v>
      </c>
      <c r="K74" s="31">
        <f t="shared" si="1"/>
        <v>11040</v>
      </c>
      <c r="L74" s="31">
        <f>Table2[[#This Row],[gross sales]]-Table2[[#This Row],[net sale]]</f>
        <v>960</v>
      </c>
      <c r="M74" s="36" t="str">
        <f>TEXT(B74,"mmm")</f>
        <v>Apr</v>
      </c>
    </row>
    <row r="75" spans="1:13">
      <c r="A75" s="19">
        <v>1074</v>
      </c>
      <c r="B75" s="18">
        <v>45772</v>
      </c>
      <c r="C75" s="19" t="s">
        <v>16</v>
      </c>
      <c r="D75" s="19" t="s">
        <v>10</v>
      </c>
      <c r="E75" s="19" t="s">
        <v>11</v>
      </c>
      <c r="F75" s="19" t="s">
        <v>27</v>
      </c>
      <c r="G75" s="19">
        <v>7</v>
      </c>
      <c r="H75" s="20">
        <v>55000</v>
      </c>
      <c r="I75" s="24">
        <v>0.1</v>
      </c>
      <c r="J75" s="28">
        <f>Table2[[#This Row],[Quantity]]*Table2[[#This Row],[Unit_Price]]</f>
        <v>385000</v>
      </c>
      <c r="K75" s="31">
        <f t="shared" si="1"/>
        <v>346500</v>
      </c>
      <c r="L75" s="31">
        <f>Table2[[#This Row],[gross sales]]-Table2[[#This Row],[net sale]]</f>
        <v>38500</v>
      </c>
      <c r="M75" s="37" t="str">
        <f>TEXT(B75,"mmm")</f>
        <v>Apr</v>
      </c>
    </row>
    <row r="76" spans="1:13">
      <c r="A76" s="16">
        <v>1075</v>
      </c>
      <c r="B76" s="15">
        <v>45693</v>
      </c>
      <c r="C76" s="16" t="s">
        <v>35</v>
      </c>
      <c r="D76" s="16" t="s">
        <v>36</v>
      </c>
      <c r="E76" s="16" t="s">
        <v>22</v>
      </c>
      <c r="F76" s="16" t="s">
        <v>23</v>
      </c>
      <c r="G76" s="16">
        <v>9</v>
      </c>
      <c r="H76" s="17">
        <v>3500</v>
      </c>
      <c r="I76" s="23">
        <v>0.08</v>
      </c>
      <c r="J76" s="28">
        <f>Table2[[#This Row],[Quantity]]*Table2[[#This Row],[Unit_Price]]</f>
        <v>31500</v>
      </c>
      <c r="K76" s="31">
        <f t="shared" si="1"/>
        <v>28980</v>
      </c>
      <c r="L76" s="31">
        <f>Table2[[#This Row],[gross sales]]-Table2[[#This Row],[net sale]]</f>
        <v>2520</v>
      </c>
      <c r="M76" s="36" t="str">
        <f>TEXT(B76,"mmm")</f>
        <v>Feb</v>
      </c>
    </row>
    <row r="77" spans="1:13">
      <c r="A77" s="19">
        <v>1076</v>
      </c>
      <c r="B77" s="18">
        <v>45672</v>
      </c>
      <c r="C77" s="19" t="s">
        <v>9</v>
      </c>
      <c r="D77" s="19" t="s">
        <v>10</v>
      </c>
      <c r="E77" s="19" t="s">
        <v>11</v>
      </c>
      <c r="F77" s="19" t="s">
        <v>18</v>
      </c>
      <c r="G77" s="19">
        <v>9</v>
      </c>
      <c r="H77" s="20">
        <v>18000</v>
      </c>
      <c r="I77" s="24">
        <v>0.05</v>
      </c>
      <c r="J77" s="28">
        <f>Table2[[#This Row],[Quantity]]*Table2[[#This Row],[Unit_Price]]</f>
        <v>162000</v>
      </c>
      <c r="K77" s="31">
        <f t="shared" si="1"/>
        <v>153900</v>
      </c>
      <c r="L77" s="31">
        <f>Table2[[#This Row],[gross sales]]-Table2[[#This Row],[net sale]]</f>
        <v>8100</v>
      </c>
      <c r="M77" s="37" t="str">
        <f>TEXT(B77,"mmm")</f>
        <v>Jan</v>
      </c>
    </row>
    <row r="78" spans="1:13">
      <c r="A78" s="16">
        <v>1077</v>
      </c>
      <c r="B78" s="15">
        <v>45713</v>
      </c>
      <c r="C78" s="16" t="s">
        <v>28</v>
      </c>
      <c r="D78" s="16" t="s">
        <v>26</v>
      </c>
      <c r="E78" s="16" t="s">
        <v>11</v>
      </c>
      <c r="F78" s="16" t="s">
        <v>15</v>
      </c>
      <c r="G78" s="16">
        <v>14</v>
      </c>
      <c r="H78" s="17">
        <v>9000</v>
      </c>
      <c r="I78" s="23">
        <v>0.08</v>
      </c>
      <c r="J78" s="28">
        <f>Table2[[#This Row],[Quantity]]*Table2[[#This Row],[Unit_Price]]</f>
        <v>126000</v>
      </c>
      <c r="K78" s="31">
        <f t="shared" si="1"/>
        <v>115920</v>
      </c>
      <c r="L78" s="31">
        <f>Table2[[#This Row],[gross sales]]-Table2[[#This Row],[net sale]]</f>
        <v>10080</v>
      </c>
      <c r="M78" s="36" t="str">
        <f>TEXT(B78,"mmm")</f>
        <v>Feb</v>
      </c>
    </row>
    <row r="79" spans="1:13">
      <c r="A79" s="19">
        <v>1078</v>
      </c>
      <c r="B79" s="18">
        <v>45968</v>
      </c>
      <c r="C79" s="19" t="s">
        <v>25</v>
      </c>
      <c r="D79" s="19" t="s">
        <v>26</v>
      </c>
      <c r="E79" s="19" t="s">
        <v>17</v>
      </c>
      <c r="F79" s="19" t="s">
        <v>27</v>
      </c>
      <c r="G79" s="19">
        <v>4</v>
      </c>
      <c r="H79" s="20">
        <v>11000</v>
      </c>
      <c r="I79" s="24">
        <v>0.1</v>
      </c>
      <c r="J79" s="28">
        <f>Table2[[#This Row],[Quantity]]*Table2[[#This Row],[Unit_Price]]</f>
        <v>44000</v>
      </c>
      <c r="K79" s="31">
        <f t="shared" si="1"/>
        <v>39600</v>
      </c>
      <c r="L79" s="31">
        <f>Table2[[#This Row],[gross sales]]-Table2[[#This Row],[net sale]]</f>
        <v>4400</v>
      </c>
      <c r="M79" s="37" t="str">
        <f>TEXT(B79,"mmm")</f>
        <v>Nov</v>
      </c>
    </row>
    <row r="80" spans="1:13">
      <c r="A80" s="16">
        <v>1079</v>
      </c>
      <c r="B80" s="15">
        <v>45680</v>
      </c>
      <c r="C80" s="16" t="s">
        <v>39</v>
      </c>
      <c r="D80" s="16" t="s">
        <v>30</v>
      </c>
      <c r="E80" s="16" t="s">
        <v>17</v>
      </c>
      <c r="F80" s="16" t="s">
        <v>23</v>
      </c>
      <c r="G80" s="16">
        <v>14</v>
      </c>
      <c r="H80" s="16">
        <v>180</v>
      </c>
      <c r="I80" s="23">
        <v>0</v>
      </c>
      <c r="J80" s="28">
        <f>Table2[[#This Row],[Quantity]]*Table2[[#This Row],[Unit_Price]]</f>
        <v>2520</v>
      </c>
      <c r="K80" s="31">
        <f t="shared" si="1"/>
        <v>2520</v>
      </c>
      <c r="L80" s="31">
        <f>Table2[[#This Row],[gross sales]]-Table2[[#This Row],[net sale]]</f>
        <v>0</v>
      </c>
      <c r="M80" s="36" t="str">
        <f>TEXT(B80,"mmm")</f>
        <v>Jan</v>
      </c>
    </row>
    <row r="81" spans="1:13">
      <c r="A81" s="19">
        <v>1080</v>
      </c>
      <c r="B81" s="18">
        <v>45878</v>
      </c>
      <c r="C81" s="19" t="s">
        <v>9</v>
      </c>
      <c r="D81" s="19" t="s">
        <v>10</v>
      </c>
      <c r="E81" s="19" t="s">
        <v>11</v>
      </c>
      <c r="F81" s="19" t="s">
        <v>24</v>
      </c>
      <c r="G81" s="19">
        <v>11</v>
      </c>
      <c r="H81" s="20">
        <v>18000</v>
      </c>
      <c r="I81" s="24">
        <v>0.12</v>
      </c>
      <c r="J81" s="28">
        <f>Table2[[#This Row],[Quantity]]*Table2[[#This Row],[Unit_Price]]</f>
        <v>198000</v>
      </c>
      <c r="K81" s="31">
        <f t="shared" si="1"/>
        <v>174240</v>
      </c>
      <c r="L81" s="31">
        <f>Table2[[#This Row],[gross sales]]-Table2[[#This Row],[net sale]]</f>
        <v>23760</v>
      </c>
      <c r="M81" s="37" t="str">
        <f>TEXT(B81,"mmm")</f>
        <v>Aug</v>
      </c>
    </row>
    <row r="82" spans="1:13">
      <c r="A82" s="16">
        <v>1081</v>
      </c>
      <c r="B82" s="15">
        <v>45811</v>
      </c>
      <c r="C82" s="16" t="s">
        <v>25</v>
      </c>
      <c r="D82" s="16" t="s">
        <v>26</v>
      </c>
      <c r="E82" s="16" t="s">
        <v>22</v>
      </c>
      <c r="F82" s="16" t="s">
        <v>23</v>
      </c>
      <c r="G82" s="16">
        <v>10</v>
      </c>
      <c r="H82" s="17">
        <v>11000</v>
      </c>
      <c r="I82" s="23">
        <v>0.15</v>
      </c>
      <c r="J82" s="28">
        <f>Table2[[#This Row],[Quantity]]*Table2[[#This Row],[Unit_Price]]</f>
        <v>110000</v>
      </c>
      <c r="K82" s="31">
        <f t="shared" si="1"/>
        <v>93500</v>
      </c>
      <c r="L82" s="31">
        <f>Table2[[#This Row],[gross sales]]-Table2[[#This Row],[net sale]]</f>
        <v>16500</v>
      </c>
      <c r="M82" s="36" t="str">
        <f>TEXT(B82,"mmm")</f>
        <v>Jun</v>
      </c>
    </row>
    <row r="83" spans="1:13">
      <c r="A83" s="19">
        <v>1082</v>
      </c>
      <c r="B83" s="18">
        <v>45864</v>
      </c>
      <c r="C83" s="19" t="s">
        <v>39</v>
      </c>
      <c r="D83" s="19" t="s">
        <v>30</v>
      </c>
      <c r="E83" s="19" t="s">
        <v>17</v>
      </c>
      <c r="F83" s="19" t="s">
        <v>12</v>
      </c>
      <c r="G83" s="19">
        <v>10</v>
      </c>
      <c r="H83" s="19">
        <v>180</v>
      </c>
      <c r="I83" s="24">
        <v>0.12</v>
      </c>
      <c r="J83" s="28">
        <f>Table2[[#This Row],[Quantity]]*Table2[[#This Row],[Unit_Price]]</f>
        <v>1800</v>
      </c>
      <c r="K83" s="31">
        <f t="shared" si="1"/>
        <v>1584</v>
      </c>
      <c r="L83" s="31">
        <f>Table2[[#This Row],[gross sales]]-Table2[[#This Row],[net sale]]</f>
        <v>216</v>
      </c>
      <c r="M83" s="37" t="str">
        <f>TEXT(B83,"mmm")</f>
        <v>Jul</v>
      </c>
    </row>
    <row r="84" spans="1:13">
      <c r="A84" s="16">
        <v>1083</v>
      </c>
      <c r="B84" s="15">
        <v>45873</v>
      </c>
      <c r="C84" s="16" t="s">
        <v>29</v>
      </c>
      <c r="D84" s="16" t="s">
        <v>30</v>
      </c>
      <c r="E84" s="16" t="s">
        <v>17</v>
      </c>
      <c r="F84" s="16" t="s">
        <v>27</v>
      </c>
      <c r="G84" s="16">
        <v>13</v>
      </c>
      <c r="H84" s="16">
        <v>250</v>
      </c>
      <c r="I84" s="23">
        <v>0.15</v>
      </c>
      <c r="J84" s="28">
        <f>Table2[[#This Row],[Quantity]]*Table2[[#This Row],[Unit_Price]]</f>
        <v>3250</v>
      </c>
      <c r="K84" s="31">
        <f t="shared" si="1"/>
        <v>2762.5</v>
      </c>
      <c r="L84" s="31">
        <f>Table2[[#This Row],[gross sales]]-Table2[[#This Row],[net sale]]</f>
        <v>487.5</v>
      </c>
      <c r="M84" s="36" t="str">
        <f>TEXT(B84,"mmm")</f>
        <v>Aug</v>
      </c>
    </row>
    <row r="85" spans="1:13">
      <c r="A85" s="19">
        <v>1084</v>
      </c>
      <c r="B85" s="18">
        <v>45865</v>
      </c>
      <c r="C85" s="19" t="s">
        <v>25</v>
      </c>
      <c r="D85" s="19" t="s">
        <v>26</v>
      </c>
      <c r="E85" s="19" t="s">
        <v>11</v>
      </c>
      <c r="F85" s="19" t="s">
        <v>12</v>
      </c>
      <c r="G85" s="19">
        <v>1</v>
      </c>
      <c r="H85" s="20">
        <v>11000</v>
      </c>
      <c r="I85" s="24">
        <v>0.08</v>
      </c>
      <c r="J85" s="28">
        <f>Table2[[#This Row],[Quantity]]*Table2[[#This Row],[Unit_Price]]</f>
        <v>11000</v>
      </c>
      <c r="K85" s="31">
        <f t="shared" si="1"/>
        <v>10120</v>
      </c>
      <c r="L85" s="31">
        <f>Table2[[#This Row],[gross sales]]-Table2[[#This Row],[net sale]]</f>
        <v>880</v>
      </c>
      <c r="M85" s="37" t="str">
        <f>TEXT(B85,"mmm")</f>
        <v>Jul</v>
      </c>
    </row>
    <row r="86" spans="1:13">
      <c r="A86" s="16">
        <v>1085</v>
      </c>
      <c r="B86" s="15">
        <v>45878</v>
      </c>
      <c r="C86" s="16" t="s">
        <v>35</v>
      </c>
      <c r="D86" s="16" t="s">
        <v>36</v>
      </c>
      <c r="E86" s="16" t="s">
        <v>11</v>
      </c>
      <c r="F86" s="16" t="s">
        <v>20</v>
      </c>
      <c r="G86" s="16">
        <v>19</v>
      </c>
      <c r="H86" s="17">
        <v>3500</v>
      </c>
      <c r="I86" s="23">
        <v>0.12</v>
      </c>
      <c r="J86" s="28">
        <f>Table2[[#This Row],[Quantity]]*Table2[[#This Row],[Unit_Price]]</f>
        <v>66500</v>
      </c>
      <c r="K86" s="31">
        <f t="shared" si="1"/>
        <v>58520</v>
      </c>
      <c r="L86" s="31">
        <f>Table2[[#This Row],[gross sales]]-Table2[[#This Row],[net sale]]</f>
        <v>7980</v>
      </c>
      <c r="M86" s="36" t="str">
        <f>TEXT(B86,"mmm")</f>
        <v>Aug</v>
      </c>
    </row>
    <row r="87" spans="1:13">
      <c r="A87" s="19">
        <v>1086</v>
      </c>
      <c r="B87" s="18">
        <v>45884</v>
      </c>
      <c r="C87" s="19" t="s">
        <v>34</v>
      </c>
      <c r="D87" s="19" t="s">
        <v>26</v>
      </c>
      <c r="E87" s="19" t="s">
        <v>22</v>
      </c>
      <c r="F87" s="19" t="s">
        <v>32</v>
      </c>
      <c r="G87" s="19">
        <v>7</v>
      </c>
      <c r="H87" s="20">
        <v>15000</v>
      </c>
      <c r="I87" s="24">
        <v>0.12</v>
      </c>
      <c r="J87" s="28">
        <f>Table2[[#This Row],[Quantity]]*Table2[[#This Row],[Unit_Price]]</f>
        <v>105000</v>
      </c>
      <c r="K87" s="31">
        <f t="shared" si="1"/>
        <v>92400</v>
      </c>
      <c r="L87" s="31">
        <f>Table2[[#This Row],[gross sales]]-Table2[[#This Row],[net sale]]</f>
        <v>12600</v>
      </c>
      <c r="M87" s="37" t="str">
        <f>TEXT(B87,"mmm")</f>
        <v>Aug</v>
      </c>
    </row>
    <row r="88" spans="1:13">
      <c r="A88" s="16">
        <v>1087</v>
      </c>
      <c r="B88" s="15">
        <v>45995</v>
      </c>
      <c r="C88" s="16" t="s">
        <v>9</v>
      </c>
      <c r="D88" s="16" t="s">
        <v>10</v>
      </c>
      <c r="E88" s="16" t="s">
        <v>11</v>
      </c>
      <c r="F88" s="16" t="s">
        <v>24</v>
      </c>
      <c r="G88" s="16">
        <v>10</v>
      </c>
      <c r="H88" s="17">
        <v>18000</v>
      </c>
      <c r="I88" s="23">
        <v>0.12</v>
      </c>
      <c r="J88" s="28">
        <f>Table2[[#This Row],[Quantity]]*Table2[[#This Row],[Unit_Price]]</f>
        <v>180000</v>
      </c>
      <c r="K88" s="31">
        <f t="shared" si="1"/>
        <v>158400</v>
      </c>
      <c r="L88" s="31">
        <f>Table2[[#This Row],[gross sales]]-Table2[[#This Row],[net sale]]</f>
        <v>21600</v>
      </c>
      <c r="M88" s="36" t="str">
        <f>TEXT(B88,"mmm")</f>
        <v>Dec</v>
      </c>
    </row>
    <row r="89" spans="1:13">
      <c r="A89" s="19">
        <v>1088</v>
      </c>
      <c r="B89" s="18">
        <v>45778</v>
      </c>
      <c r="C89" s="19" t="s">
        <v>29</v>
      </c>
      <c r="D89" s="19" t="s">
        <v>30</v>
      </c>
      <c r="E89" s="19" t="s">
        <v>17</v>
      </c>
      <c r="F89" s="19" t="s">
        <v>32</v>
      </c>
      <c r="G89" s="19">
        <v>10</v>
      </c>
      <c r="H89" s="19">
        <v>250</v>
      </c>
      <c r="I89" s="24">
        <v>0.05</v>
      </c>
      <c r="J89" s="28">
        <f>Table2[[#This Row],[Quantity]]*Table2[[#This Row],[Unit_Price]]</f>
        <v>2500</v>
      </c>
      <c r="K89" s="31">
        <f t="shared" si="1"/>
        <v>2375</v>
      </c>
      <c r="L89" s="31">
        <f>Table2[[#This Row],[gross sales]]-Table2[[#This Row],[net sale]]</f>
        <v>125</v>
      </c>
      <c r="M89" s="37" t="str">
        <f>TEXT(B89,"mmm")</f>
        <v>May</v>
      </c>
    </row>
    <row r="90" spans="1:13">
      <c r="A90" s="16">
        <v>1089</v>
      </c>
      <c r="B90" s="15">
        <v>45670</v>
      </c>
      <c r="C90" s="16" t="s">
        <v>16</v>
      </c>
      <c r="D90" s="16" t="s">
        <v>10</v>
      </c>
      <c r="E90" s="16" t="s">
        <v>14</v>
      </c>
      <c r="F90" s="16" t="s">
        <v>20</v>
      </c>
      <c r="G90" s="16">
        <v>8</v>
      </c>
      <c r="H90" s="17">
        <v>55000</v>
      </c>
      <c r="I90" s="23">
        <v>0.1</v>
      </c>
      <c r="J90" s="28">
        <f>Table2[[#This Row],[Quantity]]*Table2[[#This Row],[Unit_Price]]</f>
        <v>440000</v>
      </c>
      <c r="K90" s="31">
        <f t="shared" si="1"/>
        <v>396000</v>
      </c>
      <c r="L90" s="31">
        <f>Table2[[#This Row],[gross sales]]-Table2[[#This Row],[net sale]]</f>
        <v>44000</v>
      </c>
      <c r="M90" s="36" t="str">
        <f>TEXT(B90,"mmm")</f>
        <v>Jan</v>
      </c>
    </row>
    <row r="91" spans="1:13">
      <c r="A91" s="19">
        <v>1090</v>
      </c>
      <c r="B91" s="18">
        <v>45870</v>
      </c>
      <c r="C91" s="19" t="s">
        <v>37</v>
      </c>
      <c r="D91" s="19" t="s">
        <v>36</v>
      </c>
      <c r="E91" s="19" t="s">
        <v>22</v>
      </c>
      <c r="F91" s="19" t="s">
        <v>20</v>
      </c>
      <c r="G91" s="19">
        <v>19</v>
      </c>
      <c r="H91" s="20">
        <v>1800</v>
      </c>
      <c r="I91" s="24">
        <v>0.05</v>
      </c>
      <c r="J91" s="28">
        <f>Table2[[#This Row],[Quantity]]*Table2[[#This Row],[Unit_Price]]</f>
        <v>34200</v>
      </c>
      <c r="K91" s="31">
        <f t="shared" si="1"/>
        <v>32490</v>
      </c>
      <c r="L91" s="31">
        <f>Table2[[#This Row],[gross sales]]-Table2[[#This Row],[net sale]]</f>
        <v>1710</v>
      </c>
      <c r="M91" s="37" t="str">
        <f>TEXT(B91,"mmm")</f>
        <v>Aug</v>
      </c>
    </row>
    <row r="92" spans="1:13">
      <c r="A92" s="16">
        <v>1091</v>
      </c>
      <c r="B92" s="15">
        <v>45862</v>
      </c>
      <c r="C92" s="16" t="s">
        <v>19</v>
      </c>
      <c r="D92" s="16" t="s">
        <v>10</v>
      </c>
      <c r="E92" s="16" t="s">
        <v>14</v>
      </c>
      <c r="F92" s="16" t="s">
        <v>24</v>
      </c>
      <c r="G92" s="16">
        <v>5</v>
      </c>
      <c r="H92" s="16">
        <v>800</v>
      </c>
      <c r="I92" s="23">
        <v>0.15</v>
      </c>
      <c r="J92" s="28">
        <f>Table2[[#This Row],[Quantity]]*Table2[[#This Row],[Unit_Price]]</f>
        <v>4000</v>
      </c>
      <c r="K92" s="31">
        <f t="shared" si="1"/>
        <v>3400</v>
      </c>
      <c r="L92" s="31">
        <f>Table2[[#This Row],[gross sales]]-Table2[[#This Row],[net sale]]</f>
        <v>600</v>
      </c>
      <c r="M92" s="36" t="str">
        <f>TEXT(B92,"mmm")</f>
        <v>Jul</v>
      </c>
    </row>
    <row r="93" spans="1:13">
      <c r="A93" s="19">
        <v>1092</v>
      </c>
      <c r="B93" s="18">
        <v>45875</v>
      </c>
      <c r="C93" s="19" t="s">
        <v>19</v>
      </c>
      <c r="D93" s="19" t="s">
        <v>10</v>
      </c>
      <c r="E93" s="19" t="s">
        <v>22</v>
      </c>
      <c r="F93" s="19" t="s">
        <v>18</v>
      </c>
      <c r="G93" s="19">
        <v>6</v>
      </c>
      <c r="H93" s="19">
        <v>800</v>
      </c>
      <c r="I93" s="24">
        <v>0.15</v>
      </c>
      <c r="J93" s="28">
        <f>Table2[[#This Row],[Quantity]]*Table2[[#This Row],[Unit_Price]]</f>
        <v>4800</v>
      </c>
      <c r="K93" s="31">
        <f t="shared" si="1"/>
        <v>4080</v>
      </c>
      <c r="L93" s="31">
        <f>Table2[[#This Row],[gross sales]]-Table2[[#This Row],[net sale]]</f>
        <v>720</v>
      </c>
      <c r="M93" s="37" t="str">
        <f>TEXT(B93,"mmm")</f>
        <v>Aug</v>
      </c>
    </row>
    <row r="94" spans="1:13">
      <c r="A94" s="16">
        <v>1093</v>
      </c>
      <c r="B94" s="15">
        <v>45943</v>
      </c>
      <c r="C94" s="16" t="s">
        <v>19</v>
      </c>
      <c r="D94" s="16" t="s">
        <v>10</v>
      </c>
      <c r="E94" s="16" t="s">
        <v>17</v>
      </c>
      <c r="F94" s="16" t="s">
        <v>20</v>
      </c>
      <c r="G94" s="16">
        <v>4</v>
      </c>
      <c r="H94" s="16">
        <v>800</v>
      </c>
      <c r="I94" s="23">
        <v>0.1</v>
      </c>
      <c r="J94" s="28">
        <f>Table2[[#This Row],[Quantity]]*Table2[[#This Row],[Unit_Price]]</f>
        <v>3200</v>
      </c>
      <c r="K94" s="31">
        <f t="shared" si="1"/>
        <v>2880</v>
      </c>
      <c r="L94" s="31">
        <f>Table2[[#This Row],[gross sales]]-Table2[[#This Row],[net sale]]</f>
        <v>320</v>
      </c>
      <c r="M94" s="36" t="str">
        <f>TEXT(B94,"mmm")</f>
        <v>Oct</v>
      </c>
    </row>
    <row r="95" spans="1:13">
      <c r="A95" s="19">
        <v>1094</v>
      </c>
      <c r="B95" s="18">
        <v>45999</v>
      </c>
      <c r="C95" s="19" t="s">
        <v>25</v>
      </c>
      <c r="D95" s="19" t="s">
        <v>26</v>
      </c>
      <c r="E95" s="19" t="s">
        <v>11</v>
      </c>
      <c r="F95" s="19" t="s">
        <v>20</v>
      </c>
      <c r="G95" s="19">
        <v>18</v>
      </c>
      <c r="H95" s="20">
        <v>11000</v>
      </c>
      <c r="I95" s="24">
        <v>0.12</v>
      </c>
      <c r="J95" s="28">
        <f>Table2[[#This Row],[Quantity]]*Table2[[#This Row],[Unit_Price]]</f>
        <v>198000</v>
      </c>
      <c r="K95" s="31">
        <f t="shared" si="1"/>
        <v>174240</v>
      </c>
      <c r="L95" s="31">
        <f>Table2[[#This Row],[gross sales]]-Table2[[#This Row],[net sale]]</f>
        <v>23760</v>
      </c>
      <c r="M95" s="37" t="str">
        <f>TEXT(B95,"mmm")</f>
        <v>Dec</v>
      </c>
    </row>
    <row r="96" spans="1:13">
      <c r="A96" s="16">
        <v>1095</v>
      </c>
      <c r="B96" s="15">
        <v>45971</v>
      </c>
      <c r="C96" s="16" t="s">
        <v>38</v>
      </c>
      <c r="D96" s="16" t="s">
        <v>10</v>
      </c>
      <c r="E96" s="16" t="s">
        <v>22</v>
      </c>
      <c r="F96" s="16" t="s">
        <v>32</v>
      </c>
      <c r="G96" s="16">
        <v>17</v>
      </c>
      <c r="H96" s="17">
        <v>42000</v>
      </c>
      <c r="I96" s="23">
        <v>0.1</v>
      </c>
      <c r="J96" s="28">
        <f>Table2[[#This Row],[Quantity]]*Table2[[#This Row],[Unit_Price]]</f>
        <v>714000</v>
      </c>
      <c r="K96" s="31">
        <f t="shared" si="1"/>
        <v>642600</v>
      </c>
      <c r="L96" s="31">
        <f>Table2[[#This Row],[gross sales]]-Table2[[#This Row],[net sale]]</f>
        <v>71400</v>
      </c>
      <c r="M96" s="36" t="str">
        <f>TEXT(B96,"mmm")</f>
        <v>Nov</v>
      </c>
    </row>
    <row r="97" spans="1:13">
      <c r="A97" s="19">
        <v>1096</v>
      </c>
      <c r="B97" s="18">
        <v>45901</v>
      </c>
      <c r="C97" s="19" t="s">
        <v>34</v>
      </c>
      <c r="D97" s="19" t="s">
        <v>26</v>
      </c>
      <c r="E97" s="19" t="s">
        <v>11</v>
      </c>
      <c r="F97" s="19" t="s">
        <v>20</v>
      </c>
      <c r="G97" s="19">
        <v>9</v>
      </c>
      <c r="H97" s="20">
        <v>15000</v>
      </c>
      <c r="I97" s="24">
        <v>0.05</v>
      </c>
      <c r="J97" s="28">
        <f>Table2[[#This Row],[Quantity]]*Table2[[#This Row],[Unit_Price]]</f>
        <v>135000</v>
      </c>
      <c r="K97" s="31">
        <f t="shared" si="1"/>
        <v>128250</v>
      </c>
      <c r="L97" s="31">
        <f>Table2[[#This Row],[gross sales]]-Table2[[#This Row],[net sale]]</f>
        <v>6750</v>
      </c>
      <c r="M97" s="37" t="str">
        <f>TEXT(B97,"mmm")</f>
        <v>Sep</v>
      </c>
    </row>
    <row r="98" spans="1:13">
      <c r="A98" s="16">
        <v>1097</v>
      </c>
      <c r="B98" s="15">
        <v>45978</v>
      </c>
      <c r="C98" s="16" t="s">
        <v>19</v>
      </c>
      <c r="D98" s="16" t="s">
        <v>10</v>
      </c>
      <c r="E98" s="16" t="s">
        <v>14</v>
      </c>
      <c r="F98" s="16" t="s">
        <v>27</v>
      </c>
      <c r="G98" s="16">
        <v>9</v>
      </c>
      <c r="H98" s="16">
        <v>800</v>
      </c>
      <c r="I98" s="23">
        <v>0.1</v>
      </c>
      <c r="J98" s="28">
        <f>Table2[[#This Row],[Quantity]]*Table2[[#This Row],[Unit_Price]]</f>
        <v>7200</v>
      </c>
      <c r="K98" s="31">
        <f t="shared" si="1"/>
        <v>6480</v>
      </c>
      <c r="L98" s="31">
        <f>Table2[[#This Row],[gross sales]]-Table2[[#This Row],[net sale]]</f>
        <v>720</v>
      </c>
      <c r="M98" s="36" t="str">
        <f>TEXT(B98,"mmm")</f>
        <v>Nov</v>
      </c>
    </row>
    <row r="99" spans="1:13">
      <c r="A99" s="19">
        <v>1098</v>
      </c>
      <c r="B99" s="18">
        <v>45778</v>
      </c>
      <c r="C99" s="19" t="s">
        <v>21</v>
      </c>
      <c r="D99" s="19" t="s">
        <v>10</v>
      </c>
      <c r="E99" s="19" t="s">
        <v>14</v>
      </c>
      <c r="F99" s="19" t="s">
        <v>32</v>
      </c>
      <c r="G99" s="19">
        <v>11</v>
      </c>
      <c r="H99" s="20">
        <v>14000</v>
      </c>
      <c r="I99" s="24">
        <v>0.08</v>
      </c>
      <c r="J99" s="28">
        <f>Table2[[#This Row],[Quantity]]*Table2[[#This Row],[Unit_Price]]</f>
        <v>154000</v>
      </c>
      <c r="K99" s="31">
        <f t="shared" si="1"/>
        <v>141680</v>
      </c>
      <c r="L99" s="31">
        <f>Table2[[#This Row],[gross sales]]-Table2[[#This Row],[net sale]]</f>
        <v>12320</v>
      </c>
      <c r="M99" s="37" t="str">
        <f>TEXT(B99,"mmm")</f>
        <v>May</v>
      </c>
    </row>
    <row r="100" spans="1:13">
      <c r="A100" s="16">
        <v>1099</v>
      </c>
      <c r="B100" s="15">
        <v>45735</v>
      </c>
      <c r="C100" s="16" t="s">
        <v>19</v>
      </c>
      <c r="D100" s="16" t="s">
        <v>10</v>
      </c>
      <c r="E100" s="16" t="s">
        <v>17</v>
      </c>
      <c r="F100" s="16" t="s">
        <v>12</v>
      </c>
      <c r="G100" s="16">
        <v>13</v>
      </c>
      <c r="H100" s="16">
        <v>800</v>
      </c>
      <c r="I100" s="23">
        <v>0.15</v>
      </c>
      <c r="J100" s="28">
        <f>Table2[[#This Row],[Quantity]]*Table2[[#This Row],[Unit_Price]]</f>
        <v>10400</v>
      </c>
      <c r="K100" s="31">
        <f t="shared" si="1"/>
        <v>8840</v>
      </c>
      <c r="L100" s="31">
        <f>Table2[[#This Row],[gross sales]]-Table2[[#This Row],[net sale]]</f>
        <v>1560</v>
      </c>
      <c r="M100" s="36" t="str">
        <f>TEXT(B100,"mmm")</f>
        <v>Mar</v>
      </c>
    </row>
    <row r="101" spans="1:13">
      <c r="A101" s="19">
        <v>1100</v>
      </c>
      <c r="B101" s="18">
        <v>45690</v>
      </c>
      <c r="C101" s="19" t="s">
        <v>31</v>
      </c>
      <c r="D101" s="19" t="s">
        <v>26</v>
      </c>
      <c r="E101" s="19" t="s">
        <v>22</v>
      </c>
      <c r="F101" s="19" t="s">
        <v>15</v>
      </c>
      <c r="G101" s="19">
        <v>14</v>
      </c>
      <c r="H101" s="20">
        <v>8500</v>
      </c>
      <c r="I101" s="24">
        <v>0.08</v>
      </c>
      <c r="J101" s="28">
        <f>Table2[[#This Row],[Quantity]]*Table2[[#This Row],[Unit_Price]]</f>
        <v>119000</v>
      </c>
      <c r="K101" s="31">
        <f t="shared" si="1"/>
        <v>109480</v>
      </c>
      <c r="L101" s="31">
        <f>Table2[[#This Row],[gross sales]]-Table2[[#This Row],[net sale]]</f>
        <v>9520</v>
      </c>
      <c r="M101" s="37" t="str">
        <f>TEXT(B101,"mmm")</f>
        <v>Feb</v>
      </c>
    </row>
    <row r="102" spans="1:13">
      <c r="A102" s="16">
        <v>1101</v>
      </c>
      <c r="B102" s="15">
        <v>45689</v>
      </c>
      <c r="C102" s="16" t="s">
        <v>19</v>
      </c>
      <c r="D102" s="16" t="s">
        <v>10</v>
      </c>
      <c r="E102" s="16" t="s">
        <v>14</v>
      </c>
      <c r="F102" s="16" t="s">
        <v>15</v>
      </c>
      <c r="G102" s="16">
        <v>14</v>
      </c>
      <c r="H102" s="16">
        <v>800</v>
      </c>
      <c r="I102" s="23">
        <v>0.1</v>
      </c>
      <c r="J102" s="28">
        <f>Table2[[#This Row],[Quantity]]*Table2[[#This Row],[Unit_Price]]</f>
        <v>11200</v>
      </c>
      <c r="K102" s="31">
        <f t="shared" si="1"/>
        <v>10080</v>
      </c>
      <c r="L102" s="31">
        <f>Table2[[#This Row],[gross sales]]-Table2[[#This Row],[net sale]]</f>
        <v>1120</v>
      </c>
      <c r="M102" s="36" t="str">
        <f>TEXT(B102,"mmm")</f>
        <v>Feb</v>
      </c>
    </row>
    <row r="103" spans="1:13">
      <c r="A103" s="19">
        <v>1102</v>
      </c>
      <c r="B103" s="18">
        <v>45902</v>
      </c>
      <c r="C103" s="19" t="s">
        <v>16</v>
      </c>
      <c r="D103" s="19" t="s">
        <v>10</v>
      </c>
      <c r="E103" s="19" t="s">
        <v>22</v>
      </c>
      <c r="F103" s="19" t="s">
        <v>15</v>
      </c>
      <c r="G103" s="19">
        <v>12</v>
      </c>
      <c r="H103" s="20">
        <v>55000</v>
      </c>
      <c r="I103" s="24">
        <v>0.08</v>
      </c>
      <c r="J103" s="28">
        <f>Table2[[#This Row],[Quantity]]*Table2[[#This Row],[Unit_Price]]</f>
        <v>660000</v>
      </c>
      <c r="K103" s="31">
        <f t="shared" si="1"/>
        <v>607200</v>
      </c>
      <c r="L103" s="31">
        <f>Table2[[#This Row],[gross sales]]-Table2[[#This Row],[net sale]]</f>
        <v>52800</v>
      </c>
      <c r="M103" s="37" t="str">
        <f>TEXT(B103,"mmm")</f>
        <v>Sep</v>
      </c>
    </row>
    <row r="104" spans="1:13">
      <c r="A104" s="16">
        <v>1103</v>
      </c>
      <c r="B104" s="15">
        <v>45933</v>
      </c>
      <c r="C104" s="16" t="s">
        <v>39</v>
      </c>
      <c r="D104" s="16" t="s">
        <v>30</v>
      </c>
      <c r="E104" s="16" t="s">
        <v>17</v>
      </c>
      <c r="F104" s="16" t="s">
        <v>20</v>
      </c>
      <c r="G104" s="16">
        <v>18</v>
      </c>
      <c r="H104" s="16">
        <v>180</v>
      </c>
      <c r="I104" s="23">
        <v>0.12</v>
      </c>
      <c r="J104" s="28">
        <f>Table2[[#This Row],[Quantity]]*Table2[[#This Row],[Unit_Price]]</f>
        <v>3240</v>
      </c>
      <c r="K104" s="31">
        <f t="shared" si="1"/>
        <v>2851.2</v>
      </c>
      <c r="L104" s="31">
        <f>Table2[[#This Row],[gross sales]]-Table2[[#This Row],[net sale]]</f>
        <v>388.80000000000018</v>
      </c>
      <c r="M104" s="36" t="str">
        <f>TEXT(B104,"mmm")</f>
        <v>Oct</v>
      </c>
    </row>
    <row r="105" spans="1:13">
      <c r="A105" s="19">
        <v>1104</v>
      </c>
      <c r="B105" s="18">
        <v>45770</v>
      </c>
      <c r="C105" s="19" t="s">
        <v>21</v>
      </c>
      <c r="D105" s="19" t="s">
        <v>10</v>
      </c>
      <c r="E105" s="19" t="s">
        <v>14</v>
      </c>
      <c r="F105" s="19" t="s">
        <v>15</v>
      </c>
      <c r="G105" s="19">
        <v>14</v>
      </c>
      <c r="H105" s="20">
        <v>14000</v>
      </c>
      <c r="I105" s="24">
        <v>0.1</v>
      </c>
      <c r="J105" s="28">
        <f>Table2[[#This Row],[Quantity]]*Table2[[#This Row],[Unit_Price]]</f>
        <v>196000</v>
      </c>
      <c r="K105" s="31">
        <f t="shared" si="1"/>
        <v>176400</v>
      </c>
      <c r="L105" s="31">
        <f>Table2[[#This Row],[gross sales]]-Table2[[#This Row],[net sale]]</f>
        <v>19600</v>
      </c>
      <c r="M105" s="37" t="str">
        <f>TEXT(B105,"mmm")</f>
        <v>Apr</v>
      </c>
    </row>
    <row r="106" spans="1:13">
      <c r="A106" s="16">
        <v>1105</v>
      </c>
      <c r="B106" s="15">
        <v>45830</v>
      </c>
      <c r="C106" s="16" t="s">
        <v>29</v>
      </c>
      <c r="D106" s="16" t="s">
        <v>30</v>
      </c>
      <c r="E106" s="16" t="s">
        <v>17</v>
      </c>
      <c r="F106" s="16" t="s">
        <v>20</v>
      </c>
      <c r="G106" s="16">
        <v>13</v>
      </c>
      <c r="H106" s="16">
        <v>250</v>
      </c>
      <c r="I106" s="23">
        <v>0.15</v>
      </c>
      <c r="J106" s="28">
        <f>Table2[[#This Row],[Quantity]]*Table2[[#This Row],[Unit_Price]]</f>
        <v>3250</v>
      </c>
      <c r="K106" s="31">
        <f t="shared" si="1"/>
        <v>2762.5</v>
      </c>
      <c r="L106" s="31">
        <f>Table2[[#This Row],[gross sales]]-Table2[[#This Row],[net sale]]</f>
        <v>487.5</v>
      </c>
      <c r="M106" s="36" t="str">
        <f>TEXT(B106,"mmm")</f>
        <v>Jun</v>
      </c>
    </row>
    <row r="107" spans="1:13">
      <c r="A107" s="19">
        <v>1106</v>
      </c>
      <c r="B107" s="18">
        <v>45723</v>
      </c>
      <c r="C107" s="19" t="s">
        <v>28</v>
      </c>
      <c r="D107" s="19" t="s">
        <v>26</v>
      </c>
      <c r="E107" s="19" t="s">
        <v>22</v>
      </c>
      <c r="F107" s="19" t="s">
        <v>18</v>
      </c>
      <c r="G107" s="19">
        <v>18</v>
      </c>
      <c r="H107" s="20">
        <v>9000</v>
      </c>
      <c r="I107" s="24">
        <v>0</v>
      </c>
      <c r="J107" s="28">
        <f>Table2[[#This Row],[Quantity]]*Table2[[#This Row],[Unit_Price]]</f>
        <v>162000</v>
      </c>
      <c r="K107" s="31">
        <f t="shared" si="1"/>
        <v>162000</v>
      </c>
      <c r="L107" s="31">
        <f>Table2[[#This Row],[gross sales]]-Table2[[#This Row],[net sale]]</f>
        <v>0</v>
      </c>
      <c r="M107" s="37" t="str">
        <f>TEXT(B107,"mmm")</f>
        <v>Mar</v>
      </c>
    </row>
    <row r="108" spans="1:13">
      <c r="A108" s="16">
        <v>1107</v>
      </c>
      <c r="B108" s="15">
        <v>45700</v>
      </c>
      <c r="C108" s="16" t="s">
        <v>29</v>
      </c>
      <c r="D108" s="16" t="s">
        <v>30</v>
      </c>
      <c r="E108" s="16" t="s">
        <v>22</v>
      </c>
      <c r="F108" s="16" t="s">
        <v>32</v>
      </c>
      <c r="G108" s="16">
        <v>14</v>
      </c>
      <c r="H108" s="16">
        <v>250</v>
      </c>
      <c r="I108" s="23">
        <v>0.05</v>
      </c>
      <c r="J108" s="28">
        <f>Table2[[#This Row],[Quantity]]*Table2[[#This Row],[Unit_Price]]</f>
        <v>3500</v>
      </c>
      <c r="K108" s="31">
        <f t="shared" si="1"/>
        <v>3325</v>
      </c>
      <c r="L108" s="31">
        <f>Table2[[#This Row],[gross sales]]-Table2[[#This Row],[net sale]]</f>
        <v>175</v>
      </c>
      <c r="M108" s="36" t="str">
        <f>TEXT(B108,"mmm")</f>
        <v>Feb</v>
      </c>
    </row>
    <row r="109" spans="1:13">
      <c r="A109" s="19">
        <v>1108</v>
      </c>
      <c r="B109" s="18">
        <v>45683</v>
      </c>
      <c r="C109" s="19" t="s">
        <v>21</v>
      </c>
      <c r="D109" s="19" t="s">
        <v>10</v>
      </c>
      <c r="E109" s="19" t="s">
        <v>17</v>
      </c>
      <c r="F109" s="19" t="s">
        <v>20</v>
      </c>
      <c r="G109" s="19">
        <v>13</v>
      </c>
      <c r="H109" s="20">
        <v>14000</v>
      </c>
      <c r="I109" s="24">
        <v>0.08</v>
      </c>
      <c r="J109" s="28">
        <f>Table2[[#This Row],[Quantity]]*Table2[[#This Row],[Unit_Price]]</f>
        <v>182000</v>
      </c>
      <c r="K109" s="31">
        <f t="shared" si="1"/>
        <v>167440</v>
      </c>
      <c r="L109" s="31">
        <f>Table2[[#This Row],[gross sales]]-Table2[[#This Row],[net sale]]</f>
        <v>14560</v>
      </c>
      <c r="M109" s="37" t="str">
        <f>TEXT(B109,"mmm")</f>
        <v>Jan</v>
      </c>
    </row>
    <row r="110" spans="1:13">
      <c r="A110" s="16">
        <v>1109</v>
      </c>
      <c r="B110" s="15">
        <v>45825</v>
      </c>
      <c r="C110" s="16" t="s">
        <v>33</v>
      </c>
      <c r="D110" s="16" t="s">
        <v>10</v>
      </c>
      <c r="E110" s="16" t="s">
        <v>22</v>
      </c>
      <c r="F110" s="16" t="s">
        <v>27</v>
      </c>
      <c r="G110" s="16">
        <v>13</v>
      </c>
      <c r="H110" s="17">
        <v>2500</v>
      </c>
      <c r="I110" s="23">
        <v>0.08</v>
      </c>
      <c r="J110" s="28">
        <f>Table2[[#This Row],[Quantity]]*Table2[[#This Row],[Unit_Price]]</f>
        <v>32500</v>
      </c>
      <c r="K110" s="31">
        <f t="shared" si="1"/>
        <v>29900</v>
      </c>
      <c r="L110" s="31">
        <f>Table2[[#This Row],[gross sales]]-Table2[[#This Row],[net sale]]</f>
        <v>2600</v>
      </c>
      <c r="M110" s="36" t="str">
        <f>TEXT(B110,"mmm")</f>
        <v>Jun</v>
      </c>
    </row>
    <row r="111" spans="1:13">
      <c r="A111" s="19">
        <v>1110</v>
      </c>
      <c r="B111" s="18">
        <v>45699</v>
      </c>
      <c r="C111" s="19" t="s">
        <v>34</v>
      </c>
      <c r="D111" s="19" t="s">
        <v>26</v>
      </c>
      <c r="E111" s="19" t="s">
        <v>14</v>
      </c>
      <c r="F111" s="19" t="s">
        <v>23</v>
      </c>
      <c r="G111" s="19">
        <v>1</v>
      </c>
      <c r="H111" s="20">
        <v>15000</v>
      </c>
      <c r="I111" s="24">
        <v>0.15</v>
      </c>
      <c r="J111" s="28">
        <f>Table2[[#This Row],[Quantity]]*Table2[[#This Row],[Unit_Price]]</f>
        <v>15000</v>
      </c>
      <c r="K111" s="31">
        <f t="shared" si="1"/>
        <v>12750</v>
      </c>
      <c r="L111" s="31">
        <f>Table2[[#This Row],[gross sales]]-Table2[[#This Row],[net sale]]</f>
        <v>2250</v>
      </c>
      <c r="M111" s="37" t="str">
        <f>TEXT(B111,"mmm")</f>
        <v>Feb</v>
      </c>
    </row>
    <row r="112" spans="1:13">
      <c r="A112" s="16">
        <v>1111</v>
      </c>
      <c r="B112" s="15">
        <v>45772</v>
      </c>
      <c r="C112" s="16" t="s">
        <v>29</v>
      </c>
      <c r="D112" s="16" t="s">
        <v>30</v>
      </c>
      <c r="E112" s="16" t="s">
        <v>14</v>
      </c>
      <c r="F112" s="16" t="s">
        <v>18</v>
      </c>
      <c r="G112" s="16">
        <v>3</v>
      </c>
      <c r="H112" s="16">
        <v>250</v>
      </c>
      <c r="I112" s="23">
        <v>0.15</v>
      </c>
      <c r="J112" s="28">
        <f>Table2[[#This Row],[Quantity]]*Table2[[#This Row],[Unit_Price]]</f>
        <v>750</v>
      </c>
      <c r="K112" s="31">
        <f t="shared" si="1"/>
        <v>637.5</v>
      </c>
      <c r="L112" s="31">
        <f>Table2[[#This Row],[gross sales]]-Table2[[#This Row],[net sale]]</f>
        <v>112.5</v>
      </c>
      <c r="M112" s="36" t="str">
        <f>TEXT(B112,"mmm")</f>
        <v>Apr</v>
      </c>
    </row>
    <row r="113" spans="1:13">
      <c r="A113" s="19">
        <v>1112</v>
      </c>
      <c r="B113" s="18">
        <v>45784</v>
      </c>
      <c r="C113" s="19" t="s">
        <v>19</v>
      </c>
      <c r="D113" s="19" t="s">
        <v>10</v>
      </c>
      <c r="E113" s="19" t="s">
        <v>17</v>
      </c>
      <c r="F113" s="19" t="s">
        <v>12</v>
      </c>
      <c r="G113" s="19">
        <v>1</v>
      </c>
      <c r="H113" s="19">
        <v>800</v>
      </c>
      <c r="I113" s="24">
        <v>0.12</v>
      </c>
      <c r="J113" s="28">
        <f>Table2[[#This Row],[Quantity]]*Table2[[#This Row],[Unit_Price]]</f>
        <v>800</v>
      </c>
      <c r="K113" s="31">
        <f t="shared" si="1"/>
        <v>704</v>
      </c>
      <c r="L113" s="31">
        <f>Table2[[#This Row],[gross sales]]-Table2[[#This Row],[net sale]]</f>
        <v>96</v>
      </c>
      <c r="M113" s="37" t="str">
        <f>TEXT(B113,"mmm")</f>
        <v>May</v>
      </c>
    </row>
    <row r="114" spans="1:13">
      <c r="A114" s="16">
        <v>1113</v>
      </c>
      <c r="B114" s="15">
        <v>45722</v>
      </c>
      <c r="C114" s="16" t="s">
        <v>34</v>
      </c>
      <c r="D114" s="16" t="s">
        <v>26</v>
      </c>
      <c r="E114" s="16" t="s">
        <v>17</v>
      </c>
      <c r="F114" s="16" t="s">
        <v>20</v>
      </c>
      <c r="G114" s="16">
        <v>4</v>
      </c>
      <c r="H114" s="17">
        <v>15000</v>
      </c>
      <c r="I114" s="23">
        <v>0.12</v>
      </c>
      <c r="J114" s="28">
        <f>Table2[[#This Row],[Quantity]]*Table2[[#This Row],[Unit_Price]]</f>
        <v>60000</v>
      </c>
      <c r="K114" s="31">
        <f t="shared" si="1"/>
        <v>52800</v>
      </c>
      <c r="L114" s="31">
        <f>Table2[[#This Row],[gross sales]]-Table2[[#This Row],[net sale]]</f>
        <v>7200</v>
      </c>
      <c r="M114" s="36" t="str">
        <f>TEXT(B114,"mmm")</f>
        <v>Mar</v>
      </c>
    </row>
    <row r="115" spans="1:13">
      <c r="A115" s="19">
        <v>1114</v>
      </c>
      <c r="B115" s="18">
        <v>46016</v>
      </c>
      <c r="C115" s="19" t="s">
        <v>21</v>
      </c>
      <c r="D115" s="19" t="s">
        <v>10</v>
      </c>
      <c r="E115" s="19" t="s">
        <v>14</v>
      </c>
      <c r="F115" s="19" t="s">
        <v>32</v>
      </c>
      <c r="G115" s="19">
        <v>12</v>
      </c>
      <c r="H115" s="20">
        <v>14000</v>
      </c>
      <c r="I115" s="24">
        <v>0.05</v>
      </c>
      <c r="J115" s="28">
        <f>Table2[[#This Row],[Quantity]]*Table2[[#This Row],[Unit_Price]]</f>
        <v>168000</v>
      </c>
      <c r="K115" s="31">
        <f t="shared" si="1"/>
        <v>159600</v>
      </c>
      <c r="L115" s="31">
        <f>Table2[[#This Row],[gross sales]]-Table2[[#This Row],[net sale]]</f>
        <v>8400</v>
      </c>
      <c r="M115" s="37" t="str">
        <f>TEXT(B115,"mmm")</f>
        <v>Dec</v>
      </c>
    </row>
    <row r="116" spans="1:13">
      <c r="A116" s="16">
        <v>1115</v>
      </c>
      <c r="B116" s="15">
        <v>45817</v>
      </c>
      <c r="C116" s="16" t="s">
        <v>9</v>
      </c>
      <c r="D116" s="16" t="s">
        <v>10</v>
      </c>
      <c r="E116" s="16" t="s">
        <v>11</v>
      </c>
      <c r="F116" s="16" t="s">
        <v>15</v>
      </c>
      <c r="G116" s="16">
        <v>19</v>
      </c>
      <c r="H116" s="17">
        <v>18000</v>
      </c>
      <c r="I116" s="23">
        <v>0</v>
      </c>
      <c r="J116" s="28">
        <f>Table2[[#This Row],[Quantity]]*Table2[[#This Row],[Unit_Price]]</f>
        <v>342000</v>
      </c>
      <c r="K116" s="31">
        <f t="shared" si="1"/>
        <v>342000</v>
      </c>
      <c r="L116" s="31">
        <f>Table2[[#This Row],[gross sales]]-Table2[[#This Row],[net sale]]</f>
        <v>0</v>
      </c>
      <c r="M116" s="36" t="str">
        <f>TEXT(B116,"mmm")</f>
        <v>Jun</v>
      </c>
    </row>
    <row r="117" spans="1:13">
      <c r="A117" s="19">
        <v>1116</v>
      </c>
      <c r="B117" s="18">
        <v>45861</v>
      </c>
      <c r="C117" s="19" t="s">
        <v>39</v>
      </c>
      <c r="D117" s="19" t="s">
        <v>30</v>
      </c>
      <c r="E117" s="19" t="s">
        <v>17</v>
      </c>
      <c r="F117" s="19" t="s">
        <v>24</v>
      </c>
      <c r="G117" s="19">
        <v>7</v>
      </c>
      <c r="H117" s="19">
        <v>180</v>
      </c>
      <c r="I117" s="24">
        <v>0</v>
      </c>
      <c r="J117" s="28">
        <f>Table2[[#This Row],[Quantity]]*Table2[[#This Row],[Unit_Price]]</f>
        <v>1260</v>
      </c>
      <c r="K117" s="31">
        <f t="shared" si="1"/>
        <v>1260</v>
      </c>
      <c r="L117" s="31">
        <f>Table2[[#This Row],[gross sales]]-Table2[[#This Row],[net sale]]</f>
        <v>0</v>
      </c>
      <c r="M117" s="37" t="str">
        <f>TEXT(B117,"mmm")</f>
        <v>Jul</v>
      </c>
    </row>
    <row r="118" spans="1:13">
      <c r="A118" s="16">
        <v>1117</v>
      </c>
      <c r="B118" s="15">
        <v>46014</v>
      </c>
      <c r="C118" s="16" t="s">
        <v>35</v>
      </c>
      <c r="D118" s="16" t="s">
        <v>36</v>
      </c>
      <c r="E118" s="16" t="s">
        <v>14</v>
      </c>
      <c r="F118" s="16" t="s">
        <v>18</v>
      </c>
      <c r="G118" s="16">
        <v>10</v>
      </c>
      <c r="H118" s="17">
        <v>3500</v>
      </c>
      <c r="I118" s="23">
        <v>0.15</v>
      </c>
      <c r="J118" s="28">
        <f>Table2[[#This Row],[Quantity]]*Table2[[#This Row],[Unit_Price]]</f>
        <v>35000</v>
      </c>
      <c r="K118" s="31">
        <f t="shared" si="1"/>
        <v>29750</v>
      </c>
      <c r="L118" s="31">
        <f>Table2[[#This Row],[gross sales]]-Table2[[#This Row],[net sale]]</f>
        <v>5250</v>
      </c>
      <c r="M118" s="36" t="str">
        <f>TEXT(B118,"mmm")</f>
        <v>Dec</v>
      </c>
    </row>
    <row r="119" spans="1:13">
      <c r="A119" s="19">
        <v>1118</v>
      </c>
      <c r="B119" s="18">
        <v>45835</v>
      </c>
      <c r="C119" s="19" t="s">
        <v>25</v>
      </c>
      <c r="D119" s="19" t="s">
        <v>26</v>
      </c>
      <c r="E119" s="19" t="s">
        <v>11</v>
      </c>
      <c r="F119" s="19" t="s">
        <v>24</v>
      </c>
      <c r="G119" s="19">
        <v>14</v>
      </c>
      <c r="H119" s="20">
        <v>11000</v>
      </c>
      <c r="I119" s="24">
        <v>0.15</v>
      </c>
      <c r="J119" s="28">
        <f>Table2[[#This Row],[Quantity]]*Table2[[#This Row],[Unit_Price]]</f>
        <v>154000</v>
      </c>
      <c r="K119" s="31">
        <f t="shared" si="1"/>
        <v>130900</v>
      </c>
      <c r="L119" s="31">
        <f>Table2[[#This Row],[gross sales]]-Table2[[#This Row],[net sale]]</f>
        <v>23100</v>
      </c>
      <c r="M119" s="37" t="str">
        <f>TEXT(B119,"mmm")</f>
        <v>Jun</v>
      </c>
    </row>
    <row r="120" spans="1:13">
      <c r="A120" s="16">
        <v>1119</v>
      </c>
      <c r="B120" s="15">
        <v>45917</v>
      </c>
      <c r="C120" s="16" t="s">
        <v>29</v>
      </c>
      <c r="D120" s="16" t="s">
        <v>30</v>
      </c>
      <c r="E120" s="16" t="s">
        <v>22</v>
      </c>
      <c r="F120" s="16" t="s">
        <v>20</v>
      </c>
      <c r="G120" s="16">
        <v>11</v>
      </c>
      <c r="H120" s="16">
        <v>250</v>
      </c>
      <c r="I120" s="23">
        <v>0</v>
      </c>
      <c r="J120" s="28">
        <f>Table2[[#This Row],[Quantity]]*Table2[[#This Row],[Unit_Price]]</f>
        <v>2750</v>
      </c>
      <c r="K120" s="31">
        <f t="shared" si="1"/>
        <v>2750</v>
      </c>
      <c r="L120" s="31">
        <f>Table2[[#This Row],[gross sales]]-Table2[[#This Row],[net sale]]</f>
        <v>0</v>
      </c>
      <c r="M120" s="36" t="str">
        <f>TEXT(B120,"mmm")</f>
        <v>Sep</v>
      </c>
    </row>
    <row r="121" spans="1:13">
      <c r="A121" s="19">
        <v>1120</v>
      </c>
      <c r="B121" s="18">
        <v>45712</v>
      </c>
      <c r="C121" s="19" t="s">
        <v>31</v>
      </c>
      <c r="D121" s="19" t="s">
        <v>26</v>
      </c>
      <c r="E121" s="19" t="s">
        <v>22</v>
      </c>
      <c r="F121" s="19" t="s">
        <v>32</v>
      </c>
      <c r="G121" s="19">
        <v>12</v>
      </c>
      <c r="H121" s="20">
        <v>8500</v>
      </c>
      <c r="I121" s="24">
        <v>0.15</v>
      </c>
      <c r="J121" s="28">
        <f>Table2[[#This Row],[Quantity]]*Table2[[#This Row],[Unit_Price]]</f>
        <v>102000</v>
      </c>
      <c r="K121" s="31">
        <f t="shared" si="1"/>
        <v>86700</v>
      </c>
      <c r="L121" s="31">
        <f>Table2[[#This Row],[gross sales]]-Table2[[#This Row],[net sale]]</f>
        <v>15300</v>
      </c>
      <c r="M121" s="37" t="str">
        <f>TEXT(B121,"mmm")</f>
        <v>Feb</v>
      </c>
    </row>
    <row r="122" spans="1:13">
      <c r="A122" s="16">
        <v>1121</v>
      </c>
      <c r="B122" s="15">
        <v>45880</v>
      </c>
      <c r="C122" s="16" t="s">
        <v>13</v>
      </c>
      <c r="D122" s="16" t="s">
        <v>10</v>
      </c>
      <c r="E122" s="16" t="s">
        <v>11</v>
      </c>
      <c r="F122" s="16" t="s">
        <v>20</v>
      </c>
      <c r="G122" s="16">
        <v>17</v>
      </c>
      <c r="H122" s="17">
        <v>1200</v>
      </c>
      <c r="I122" s="23">
        <v>0.15</v>
      </c>
      <c r="J122" s="28">
        <f>Table2[[#This Row],[Quantity]]*Table2[[#This Row],[Unit_Price]]</f>
        <v>20400</v>
      </c>
      <c r="K122" s="31">
        <f t="shared" si="1"/>
        <v>17340</v>
      </c>
      <c r="L122" s="31">
        <f>Table2[[#This Row],[gross sales]]-Table2[[#This Row],[net sale]]</f>
        <v>3060</v>
      </c>
      <c r="M122" s="36" t="str">
        <f>TEXT(B122,"mmm")</f>
        <v>Aug</v>
      </c>
    </row>
    <row r="123" spans="1:13">
      <c r="A123" s="19">
        <v>1122</v>
      </c>
      <c r="B123" s="18">
        <v>45896</v>
      </c>
      <c r="C123" s="19" t="s">
        <v>31</v>
      </c>
      <c r="D123" s="19" t="s">
        <v>26</v>
      </c>
      <c r="E123" s="19" t="s">
        <v>11</v>
      </c>
      <c r="F123" s="19" t="s">
        <v>12</v>
      </c>
      <c r="G123" s="19">
        <v>19</v>
      </c>
      <c r="H123" s="20">
        <v>8500</v>
      </c>
      <c r="I123" s="24">
        <v>0.08</v>
      </c>
      <c r="J123" s="28">
        <f>Table2[[#This Row],[Quantity]]*Table2[[#This Row],[Unit_Price]]</f>
        <v>161500</v>
      </c>
      <c r="K123" s="31">
        <f t="shared" si="1"/>
        <v>148580</v>
      </c>
      <c r="L123" s="31">
        <f>Table2[[#This Row],[gross sales]]-Table2[[#This Row],[net sale]]</f>
        <v>12920</v>
      </c>
      <c r="M123" s="37" t="str">
        <f>TEXT(B123,"mmm")</f>
        <v>Aug</v>
      </c>
    </row>
    <row r="124" spans="1:13">
      <c r="A124" s="16">
        <v>1123</v>
      </c>
      <c r="B124" s="15">
        <v>45702</v>
      </c>
      <c r="C124" s="16" t="s">
        <v>21</v>
      </c>
      <c r="D124" s="16" t="s">
        <v>10</v>
      </c>
      <c r="E124" s="16" t="s">
        <v>22</v>
      </c>
      <c r="F124" s="16" t="s">
        <v>15</v>
      </c>
      <c r="G124" s="16">
        <v>15</v>
      </c>
      <c r="H124" s="17">
        <v>14000</v>
      </c>
      <c r="I124" s="23">
        <v>0.05</v>
      </c>
      <c r="J124" s="28">
        <f>Table2[[#This Row],[Quantity]]*Table2[[#This Row],[Unit_Price]]</f>
        <v>210000</v>
      </c>
      <c r="K124" s="31">
        <f t="shared" si="1"/>
        <v>199500</v>
      </c>
      <c r="L124" s="31">
        <f>Table2[[#This Row],[gross sales]]-Table2[[#This Row],[net sale]]</f>
        <v>10500</v>
      </c>
      <c r="M124" s="36" t="str">
        <f>TEXT(B124,"mmm")</f>
        <v>Feb</v>
      </c>
    </row>
    <row r="125" spans="1:13">
      <c r="A125" s="19">
        <v>1124</v>
      </c>
      <c r="B125" s="18">
        <v>45830</v>
      </c>
      <c r="C125" s="19" t="s">
        <v>16</v>
      </c>
      <c r="D125" s="19" t="s">
        <v>10</v>
      </c>
      <c r="E125" s="19" t="s">
        <v>17</v>
      </c>
      <c r="F125" s="19" t="s">
        <v>20</v>
      </c>
      <c r="G125" s="19">
        <v>16</v>
      </c>
      <c r="H125" s="20">
        <v>55000</v>
      </c>
      <c r="I125" s="24">
        <v>0.08</v>
      </c>
      <c r="J125" s="28">
        <f>Table2[[#This Row],[Quantity]]*Table2[[#This Row],[Unit_Price]]</f>
        <v>880000</v>
      </c>
      <c r="K125" s="31">
        <f t="shared" si="1"/>
        <v>809600</v>
      </c>
      <c r="L125" s="31">
        <f>Table2[[#This Row],[gross sales]]-Table2[[#This Row],[net sale]]</f>
        <v>70400</v>
      </c>
      <c r="M125" s="37" t="str">
        <f>TEXT(B125,"mmm")</f>
        <v>Jun</v>
      </c>
    </row>
    <row r="126" spans="1:13">
      <c r="A126" s="16">
        <v>1125</v>
      </c>
      <c r="B126" s="15">
        <v>45766</v>
      </c>
      <c r="C126" s="16" t="s">
        <v>33</v>
      </c>
      <c r="D126" s="16" t="s">
        <v>10</v>
      </c>
      <c r="E126" s="16" t="s">
        <v>11</v>
      </c>
      <c r="F126" s="16" t="s">
        <v>27</v>
      </c>
      <c r="G126" s="16">
        <v>9</v>
      </c>
      <c r="H126" s="17">
        <v>2500</v>
      </c>
      <c r="I126" s="23">
        <v>0.08</v>
      </c>
      <c r="J126" s="28">
        <f>Table2[[#This Row],[Quantity]]*Table2[[#This Row],[Unit_Price]]</f>
        <v>22500</v>
      </c>
      <c r="K126" s="31">
        <f t="shared" si="1"/>
        <v>20700</v>
      </c>
      <c r="L126" s="31">
        <f>Table2[[#This Row],[gross sales]]-Table2[[#This Row],[net sale]]</f>
        <v>1800</v>
      </c>
      <c r="M126" s="36" t="str">
        <f>TEXT(B126,"mmm")</f>
        <v>Apr</v>
      </c>
    </row>
    <row r="127" spans="1:13">
      <c r="A127" s="19">
        <v>1126</v>
      </c>
      <c r="B127" s="18">
        <v>45942</v>
      </c>
      <c r="C127" s="19" t="s">
        <v>16</v>
      </c>
      <c r="D127" s="19" t="s">
        <v>10</v>
      </c>
      <c r="E127" s="19" t="s">
        <v>14</v>
      </c>
      <c r="F127" s="19" t="s">
        <v>12</v>
      </c>
      <c r="G127" s="19">
        <v>17</v>
      </c>
      <c r="H127" s="20">
        <v>55000</v>
      </c>
      <c r="I127" s="24">
        <v>0.05</v>
      </c>
      <c r="J127" s="28">
        <f>Table2[[#This Row],[Quantity]]*Table2[[#This Row],[Unit_Price]]</f>
        <v>935000</v>
      </c>
      <c r="K127" s="31">
        <f t="shared" si="1"/>
        <v>888250</v>
      </c>
      <c r="L127" s="31">
        <f>Table2[[#This Row],[gross sales]]-Table2[[#This Row],[net sale]]</f>
        <v>46750</v>
      </c>
      <c r="M127" s="37" t="str">
        <f>TEXT(B127,"mmm")</f>
        <v>Oct</v>
      </c>
    </row>
    <row r="128" spans="1:13">
      <c r="A128" s="16">
        <v>1127</v>
      </c>
      <c r="B128" s="15">
        <v>45866</v>
      </c>
      <c r="C128" s="16" t="s">
        <v>34</v>
      </c>
      <c r="D128" s="16" t="s">
        <v>26</v>
      </c>
      <c r="E128" s="16" t="s">
        <v>22</v>
      </c>
      <c r="F128" s="16" t="s">
        <v>20</v>
      </c>
      <c r="G128" s="16">
        <v>18</v>
      </c>
      <c r="H128" s="17">
        <v>15000</v>
      </c>
      <c r="I128" s="23">
        <v>0.05</v>
      </c>
      <c r="J128" s="28">
        <f>Table2[[#This Row],[Quantity]]*Table2[[#This Row],[Unit_Price]]</f>
        <v>270000</v>
      </c>
      <c r="K128" s="31">
        <f t="shared" si="1"/>
        <v>256500</v>
      </c>
      <c r="L128" s="31">
        <f>Table2[[#This Row],[gross sales]]-Table2[[#This Row],[net sale]]</f>
        <v>13500</v>
      </c>
      <c r="M128" s="36" t="str">
        <f>TEXT(B128,"mmm")</f>
        <v>Jul</v>
      </c>
    </row>
    <row r="129" spans="1:13">
      <c r="A129" s="19">
        <v>1128</v>
      </c>
      <c r="B129" s="18">
        <v>45887</v>
      </c>
      <c r="C129" s="19" t="s">
        <v>35</v>
      </c>
      <c r="D129" s="19" t="s">
        <v>36</v>
      </c>
      <c r="E129" s="19" t="s">
        <v>11</v>
      </c>
      <c r="F129" s="19" t="s">
        <v>12</v>
      </c>
      <c r="G129" s="19">
        <v>1</v>
      </c>
      <c r="H129" s="20">
        <v>3500</v>
      </c>
      <c r="I129" s="24">
        <v>0</v>
      </c>
      <c r="J129" s="28">
        <f>Table2[[#This Row],[Quantity]]*Table2[[#This Row],[Unit_Price]]</f>
        <v>3500</v>
      </c>
      <c r="K129" s="31">
        <f t="shared" si="1"/>
        <v>3500</v>
      </c>
      <c r="L129" s="31">
        <f>Table2[[#This Row],[gross sales]]-Table2[[#This Row],[net sale]]</f>
        <v>0</v>
      </c>
      <c r="M129" s="37" t="str">
        <f>TEXT(B129,"mmm")</f>
        <v>Aug</v>
      </c>
    </row>
    <row r="130" spans="1:13">
      <c r="A130" s="16">
        <v>1129</v>
      </c>
      <c r="B130" s="15">
        <v>45865</v>
      </c>
      <c r="C130" s="16" t="s">
        <v>39</v>
      </c>
      <c r="D130" s="16" t="s">
        <v>30</v>
      </c>
      <c r="E130" s="16" t="s">
        <v>11</v>
      </c>
      <c r="F130" s="16" t="s">
        <v>20</v>
      </c>
      <c r="G130" s="16">
        <v>8</v>
      </c>
      <c r="H130" s="16">
        <v>180</v>
      </c>
      <c r="I130" s="23">
        <v>0.08</v>
      </c>
      <c r="J130" s="28">
        <f>Table2[[#This Row],[Quantity]]*Table2[[#This Row],[Unit_Price]]</f>
        <v>1440</v>
      </c>
      <c r="K130" s="31">
        <f t="shared" ref="K130:K193" si="2">J130*(1-I130)</f>
        <v>1324.8</v>
      </c>
      <c r="L130" s="31">
        <f>Table2[[#This Row],[gross sales]]-Table2[[#This Row],[net sale]]</f>
        <v>115.20000000000005</v>
      </c>
      <c r="M130" s="36" t="str">
        <f>TEXT(B130,"mmm")</f>
        <v>Jul</v>
      </c>
    </row>
    <row r="131" spans="1:13">
      <c r="A131" s="19">
        <v>1130</v>
      </c>
      <c r="B131" s="18">
        <v>45941</v>
      </c>
      <c r="C131" s="19" t="s">
        <v>25</v>
      </c>
      <c r="D131" s="19" t="s">
        <v>26</v>
      </c>
      <c r="E131" s="19" t="s">
        <v>11</v>
      </c>
      <c r="F131" s="19" t="s">
        <v>23</v>
      </c>
      <c r="G131" s="19">
        <v>12</v>
      </c>
      <c r="H131" s="20">
        <v>11000</v>
      </c>
      <c r="I131" s="24">
        <v>0.1</v>
      </c>
      <c r="J131" s="28">
        <f>Table2[[#This Row],[Quantity]]*Table2[[#This Row],[Unit_Price]]</f>
        <v>132000</v>
      </c>
      <c r="K131" s="31">
        <f t="shared" si="2"/>
        <v>118800</v>
      </c>
      <c r="L131" s="31">
        <f>Table2[[#This Row],[gross sales]]-Table2[[#This Row],[net sale]]</f>
        <v>13200</v>
      </c>
      <c r="M131" s="37" t="str">
        <f>TEXT(B131,"mmm")</f>
        <v>Oct</v>
      </c>
    </row>
    <row r="132" spans="1:13">
      <c r="A132" s="16">
        <v>1131</v>
      </c>
      <c r="B132" s="15">
        <v>46017</v>
      </c>
      <c r="C132" s="16" t="s">
        <v>34</v>
      </c>
      <c r="D132" s="16" t="s">
        <v>26</v>
      </c>
      <c r="E132" s="16" t="s">
        <v>11</v>
      </c>
      <c r="F132" s="16" t="s">
        <v>12</v>
      </c>
      <c r="G132" s="16">
        <v>9</v>
      </c>
      <c r="H132" s="17">
        <v>15000</v>
      </c>
      <c r="I132" s="23">
        <v>0.08</v>
      </c>
      <c r="J132" s="28">
        <f>Table2[[#This Row],[Quantity]]*Table2[[#This Row],[Unit_Price]]</f>
        <v>135000</v>
      </c>
      <c r="K132" s="31">
        <f t="shared" si="2"/>
        <v>124200</v>
      </c>
      <c r="L132" s="31">
        <f>Table2[[#This Row],[gross sales]]-Table2[[#This Row],[net sale]]</f>
        <v>10800</v>
      </c>
      <c r="M132" s="36" t="str">
        <f>TEXT(B132,"mmm")</f>
        <v>Dec</v>
      </c>
    </row>
    <row r="133" spans="1:13">
      <c r="A133" s="19">
        <v>1132</v>
      </c>
      <c r="B133" s="18">
        <v>45719</v>
      </c>
      <c r="C133" s="19" t="s">
        <v>39</v>
      </c>
      <c r="D133" s="19" t="s">
        <v>30</v>
      </c>
      <c r="E133" s="19" t="s">
        <v>14</v>
      </c>
      <c r="F133" s="19" t="s">
        <v>32</v>
      </c>
      <c r="G133" s="19">
        <v>7</v>
      </c>
      <c r="H133" s="19">
        <v>180</v>
      </c>
      <c r="I133" s="24">
        <v>0.08</v>
      </c>
      <c r="J133" s="28">
        <f>Table2[[#This Row],[Quantity]]*Table2[[#This Row],[Unit_Price]]</f>
        <v>1260</v>
      </c>
      <c r="K133" s="31">
        <f t="shared" si="2"/>
        <v>1159.2</v>
      </c>
      <c r="L133" s="31">
        <f>Table2[[#This Row],[gross sales]]-Table2[[#This Row],[net sale]]</f>
        <v>100.79999999999995</v>
      </c>
      <c r="M133" s="37" t="str">
        <f>TEXT(B133,"mmm")</f>
        <v>Mar</v>
      </c>
    </row>
    <row r="134" spans="1:13">
      <c r="A134" s="16">
        <v>1133</v>
      </c>
      <c r="B134" s="15">
        <v>45756</v>
      </c>
      <c r="C134" s="16" t="s">
        <v>19</v>
      </c>
      <c r="D134" s="16" t="s">
        <v>10</v>
      </c>
      <c r="E134" s="16" t="s">
        <v>11</v>
      </c>
      <c r="F134" s="16" t="s">
        <v>24</v>
      </c>
      <c r="G134" s="16">
        <v>16</v>
      </c>
      <c r="H134" s="16">
        <v>800</v>
      </c>
      <c r="I134" s="23">
        <v>0.08</v>
      </c>
      <c r="J134" s="28">
        <f>Table2[[#This Row],[Quantity]]*Table2[[#This Row],[Unit_Price]]</f>
        <v>12800</v>
      </c>
      <c r="K134" s="31">
        <f t="shared" si="2"/>
        <v>11776</v>
      </c>
      <c r="L134" s="31">
        <f>Table2[[#This Row],[gross sales]]-Table2[[#This Row],[net sale]]</f>
        <v>1024</v>
      </c>
      <c r="M134" s="36" t="str">
        <f>TEXT(B134,"mmm")</f>
        <v>Apr</v>
      </c>
    </row>
    <row r="135" spans="1:13">
      <c r="A135" s="19">
        <v>1134</v>
      </c>
      <c r="B135" s="18">
        <v>45757</v>
      </c>
      <c r="C135" s="19" t="s">
        <v>21</v>
      </c>
      <c r="D135" s="19" t="s">
        <v>10</v>
      </c>
      <c r="E135" s="19" t="s">
        <v>17</v>
      </c>
      <c r="F135" s="19" t="s">
        <v>27</v>
      </c>
      <c r="G135" s="19">
        <v>8</v>
      </c>
      <c r="H135" s="20">
        <v>14000</v>
      </c>
      <c r="I135" s="24">
        <v>0.08</v>
      </c>
      <c r="J135" s="28">
        <f>Table2[[#This Row],[Quantity]]*Table2[[#This Row],[Unit_Price]]</f>
        <v>112000</v>
      </c>
      <c r="K135" s="31">
        <f t="shared" si="2"/>
        <v>103040</v>
      </c>
      <c r="L135" s="31">
        <f>Table2[[#This Row],[gross sales]]-Table2[[#This Row],[net sale]]</f>
        <v>8960</v>
      </c>
      <c r="M135" s="37" t="str">
        <f>TEXT(B135,"mmm")</f>
        <v>Apr</v>
      </c>
    </row>
    <row r="136" spans="1:13">
      <c r="A136" s="16">
        <v>1135</v>
      </c>
      <c r="B136" s="15">
        <v>45665</v>
      </c>
      <c r="C136" s="16" t="s">
        <v>39</v>
      </c>
      <c r="D136" s="16" t="s">
        <v>30</v>
      </c>
      <c r="E136" s="16" t="s">
        <v>11</v>
      </c>
      <c r="F136" s="16" t="s">
        <v>18</v>
      </c>
      <c r="G136" s="16">
        <v>18</v>
      </c>
      <c r="H136" s="16">
        <v>180</v>
      </c>
      <c r="I136" s="23">
        <v>0.05</v>
      </c>
      <c r="J136" s="28">
        <f>Table2[[#This Row],[Quantity]]*Table2[[#This Row],[Unit_Price]]</f>
        <v>3240</v>
      </c>
      <c r="K136" s="31">
        <f t="shared" si="2"/>
        <v>3078</v>
      </c>
      <c r="L136" s="31">
        <f>Table2[[#This Row],[gross sales]]-Table2[[#This Row],[net sale]]</f>
        <v>162</v>
      </c>
      <c r="M136" s="36" t="str">
        <f>TEXT(B136,"mmm")</f>
        <v>Jan</v>
      </c>
    </row>
    <row r="137" spans="1:13">
      <c r="A137" s="19">
        <v>1136</v>
      </c>
      <c r="B137" s="18">
        <v>45685</v>
      </c>
      <c r="C137" s="19" t="s">
        <v>25</v>
      </c>
      <c r="D137" s="19" t="s">
        <v>26</v>
      </c>
      <c r="E137" s="19" t="s">
        <v>17</v>
      </c>
      <c r="F137" s="19" t="s">
        <v>20</v>
      </c>
      <c r="G137" s="19">
        <v>10</v>
      </c>
      <c r="H137" s="20">
        <v>11000</v>
      </c>
      <c r="I137" s="24">
        <v>0.15</v>
      </c>
      <c r="J137" s="28">
        <f>Table2[[#This Row],[Quantity]]*Table2[[#This Row],[Unit_Price]]</f>
        <v>110000</v>
      </c>
      <c r="K137" s="31">
        <f t="shared" si="2"/>
        <v>93500</v>
      </c>
      <c r="L137" s="31">
        <f>Table2[[#This Row],[gross sales]]-Table2[[#This Row],[net sale]]</f>
        <v>16500</v>
      </c>
      <c r="M137" s="37" t="str">
        <f>TEXT(B137,"mmm")</f>
        <v>Jan</v>
      </c>
    </row>
    <row r="138" spans="1:13">
      <c r="A138" s="16">
        <v>1137</v>
      </c>
      <c r="B138" s="15">
        <v>45710</v>
      </c>
      <c r="C138" s="16" t="s">
        <v>38</v>
      </c>
      <c r="D138" s="16" t="s">
        <v>10</v>
      </c>
      <c r="E138" s="16" t="s">
        <v>11</v>
      </c>
      <c r="F138" s="16" t="s">
        <v>20</v>
      </c>
      <c r="G138" s="16">
        <v>1</v>
      </c>
      <c r="H138" s="17">
        <v>42000</v>
      </c>
      <c r="I138" s="23">
        <v>0.12</v>
      </c>
      <c r="J138" s="28">
        <f>Table2[[#This Row],[Quantity]]*Table2[[#This Row],[Unit_Price]]</f>
        <v>42000</v>
      </c>
      <c r="K138" s="31">
        <f t="shared" si="2"/>
        <v>36960</v>
      </c>
      <c r="L138" s="31">
        <f>Table2[[#This Row],[gross sales]]-Table2[[#This Row],[net sale]]</f>
        <v>5040</v>
      </c>
      <c r="M138" s="36" t="str">
        <f>TEXT(B138,"mmm")</f>
        <v>Feb</v>
      </c>
    </row>
    <row r="139" spans="1:13">
      <c r="A139" s="19">
        <v>1138</v>
      </c>
      <c r="B139" s="18">
        <v>45903</v>
      </c>
      <c r="C139" s="19" t="s">
        <v>34</v>
      </c>
      <c r="D139" s="19" t="s">
        <v>26</v>
      </c>
      <c r="E139" s="19" t="s">
        <v>14</v>
      </c>
      <c r="F139" s="19" t="s">
        <v>27</v>
      </c>
      <c r="G139" s="19">
        <v>11</v>
      </c>
      <c r="H139" s="20">
        <v>15000</v>
      </c>
      <c r="I139" s="24">
        <v>0.05</v>
      </c>
      <c r="J139" s="28">
        <f>Table2[[#This Row],[Quantity]]*Table2[[#This Row],[Unit_Price]]</f>
        <v>165000</v>
      </c>
      <c r="K139" s="31">
        <f t="shared" si="2"/>
        <v>156750</v>
      </c>
      <c r="L139" s="31">
        <f>Table2[[#This Row],[gross sales]]-Table2[[#This Row],[net sale]]</f>
        <v>8250</v>
      </c>
      <c r="M139" s="37" t="str">
        <f>TEXT(B139,"mmm")</f>
        <v>Sep</v>
      </c>
    </row>
    <row r="140" spans="1:13">
      <c r="A140" s="16">
        <v>1139</v>
      </c>
      <c r="B140" s="15">
        <v>45902</v>
      </c>
      <c r="C140" s="16" t="s">
        <v>9</v>
      </c>
      <c r="D140" s="16" t="s">
        <v>10</v>
      </c>
      <c r="E140" s="16" t="s">
        <v>22</v>
      </c>
      <c r="F140" s="16" t="s">
        <v>24</v>
      </c>
      <c r="G140" s="16">
        <v>3</v>
      </c>
      <c r="H140" s="17">
        <v>18000</v>
      </c>
      <c r="I140" s="23">
        <v>0.1</v>
      </c>
      <c r="J140" s="28">
        <f>Table2[[#This Row],[Quantity]]*Table2[[#This Row],[Unit_Price]]</f>
        <v>54000</v>
      </c>
      <c r="K140" s="31">
        <f t="shared" si="2"/>
        <v>48600</v>
      </c>
      <c r="L140" s="31">
        <f>Table2[[#This Row],[gross sales]]-Table2[[#This Row],[net sale]]</f>
        <v>5400</v>
      </c>
      <c r="M140" s="36" t="str">
        <f>TEXT(B140,"mmm")</f>
        <v>Sep</v>
      </c>
    </row>
    <row r="141" spans="1:13">
      <c r="A141" s="19">
        <v>1140</v>
      </c>
      <c r="B141" s="18">
        <v>45953</v>
      </c>
      <c r="C141" s="19" t="s">
        <v>29</v>
      </c>
      <c r="D141" s="19" t="s">
        <v>30</v>
      </c>
      <c r="E141" s="19" t="s">
        <v>17</v>
      </c>
      <c r="F141" s="19" t="s">
        <v>27</v>
      </c>
      <c r="G141" s="19">
        <v>2</v>
      </c>
      <c r="H141" s="19">
        <v>250</v>
      </c>
      <c r="I141" s="24">
        <v>0.05</v>
      </c>
      <c r="J141" s="28">
        <f>Table2[[#This Row],[Quantity]]*Table2[[#This Row],[Unit_Price]]</f>
        <v>500</v>
      </c>
      <c r="K141" s="31">
        <f t="shared" si="2"/>
        <v>475</v>
      </c>
      <c r="L141" s="31">
        <f>Table2[[#This Row],[gross sales]]-Table2[[#This Row],[net sale]]</f>
        <v>25</v>
      </c>
      <c r="M141" s="37" t="str">
        <f>TEXT(B141,"mmm")</f>
        <v>Oct</v>
      </c>
    </row>
    <row r="142" spans="1:13">
      <c r="A142" s="16">
        <v>1141</v>
      </c>
      <c r="B142" s="15">
        <v>45701</v>
      </c>
      <c r="C142" s="16" t="s">
        <v>19</v>
      </c>
      <c r="D142" s="16" t="s">
        <v>10</v>
      </c>
      <c r="E142" s="16" t="s">
        <v>22</v>
      </c>
      <c r="F142" s="16" t="s">
        <v>12</v>
      </c>
      <c r="G142" s="16">
        <v>4</v>
      </c>
      <c r="H142" s="16">
        <v>800</v>
      </c>
      <c r="I142" s="23">
        <v>0.12</v>
      </c>
      <c r="J142" s="28">
        <f>Table2[[#This Row],[Quantity]]*Table2[[#This Row],[Unit_Price]]</f>
        <v>3200</v>
      </c>
      <c r="K142" s="31">
        <f t="shared" si="2"/>
        <v>2816</v>
      </c>
      <c r="L142" s="31">
        <f>Table2[[#This Row],[gross sales]]-Table2[[#This Row],[net sale]]</f>
        <v>384</v>
      </c>
      <c r="M142" s="36" t="str">
        <f>TEXT(B142,"mmm")</f>
        <v>Feb</v>
      </c>
    </row>
    <row r="143" spans="1:13">
      <c r="A143" s="19">
        <v>1142</v>
      </c>
      <c r="B143" s="18">
        <v>45925</v>
      </c>
      <c r="C143" s="19" t="s">
        <v>31</v>
      </c>
      <c r="D143" s="19" t="s">
        <v>26</v>
      </c>
      <c r="E143" s="19" t="s">
        <v>11</v>
      </c>
      <c r="F143" s="19" t="s">
        <v>15</v>
      </c>
      <c r="G143" s="19">
        <v>15</v>
      </c>
      <c r="H143" s="20">
        <v>8500</v>
      </c>
      <c r="I143" s="24">
        <v>0.1</v>
      </c>
      <c r="J143" s="28">
        <f>Table2[[#This Row],[Quantity]]*Table2[[#This Row],[Unit_Price]]</f>
        <v>127500</v>
      </c>
      <c r="K143" s="31">
        <f t="shared" si="2"/>
        <v>114750</v>
      </c>
      <c r="L143" s="31">
        <f>Table2[[#This Row],[gross sales]]-Table2[[#This Row],[net sale]]</f>
        <v>12750</v>
      </c>
      <c r="M143" s="37" t="str">
        <f>TEXT(B143,"mmm")</f>
        <v>Sep</v>
      </c>
    </row>
    <row r="144" spans="1:13">
      <c r="A144" s="16">
        <v>1143</v>
      </c>
      <c r="B144" s="15">
        <v>45814</v>
      </c>
      <c r="C144" s="16" t="s">
        <v>28</v>
      </c>
      <c r="D144" s="16" t="s">
        <v>26</v>
      </c>
      <c r="E144" s="16" t="s">
        <v>14</v>
      </c>
      <c r="F144" s="16" t="s">
        <v>12</v>
      </c>
      <c r="G144" s="16">
        <v>20</v>
      </c>
      <c r="H144" s="17">
        <v>9000</v>
      </c>
      <c r="I144" s="23">
        <v>0</v>
      </c>
      <c r="J144" s="28">
        <f>Table2[[#This Row],[Quantity]]*Table2[[#This Row],[Unit_Price]]</f>
        <v>180000</v>
      </c>
      <c r="K144" s="31">
        <f t="shared" si="2"/>
        <v>180000</v>
      </c>
      <c r="L144" s="31">
        <f>Table2[[#This Row],[gross sales]]-Table2[[#This Row],[net sale]]</f>
        <v>0</v>
      </c>
      <c r="M144" s="36" t="str">
        <f>TEXT(B144,"mmm")</f>
        <v>Jun</v>
      </c>
    </row>
    <row r="145" spans="1:13">
      <c r="A145" s="19">
        <v>1144</v>
      </c>
      <c r="B145" s="18">
        <v>45978</v>
      </c>
      <c r="C145" s="19" t="s">
        <v>19</v>
      </c>
      <c r="D145" s="19" t="s">
        <v>10</v>
      </c>
      <c r="E145" s="19" t="s">
        <v>14</v>
      </c>
      <c r="F145" s="19" t="s">
        <v>32</v>
      </c>
      <c r="G145" s="19">
        <v>9</v>
      </c>
      <c r="H145" s="19">
        <v>800</v>
      </c>
      <c r="I145" s="24">
        <v>0.15</v>
      </c>
      <c r="J145" s="28">
        <f>Table2[[#This Row],[Quantity]]*Table2[[#This Row],[Unit_Price]]</f>
        <v>7200</v>
      </c>
      <c r="K145" s="31">
        <f t="shared" si="2"/>
        <v>6120</v>
      </c>
      <c r="L145" s="31">
        <f>Table2[[#This Row],[gross sales]]-Table2[[#This Row],[net sale]]</f>
        <v>1080</v>
      </c>
      <c r="M145" s="37" t="str">
        <f>TEXT(B145,"mmm")</f>
        <v>Nov</v>
      </c>
    </row>
    <row r="146" spans="1:13">
      <c r="A146" s="16">
        <v>1145</v>
      </c>
      <c r="B146" s="15">
        <v>45780</v>
      </c>
      <c r="C146" s="16" t="s">
        <v>13</v>
      </c>
      <c r="D146" s="16" t="s">
        <v>10</v>
      </c>
      <c r="E146" s="16" t="s">
        <v>17</v>
      </c>
      <c r="F146" s="16" t="s">
        <v>18</v>
      </c>
      <c r="G146" s="16">
        <v>18</v>
      </c>
      <c r="H146" s="17">
        <v>1200</v>
      </c>
      <c r="I146" s="23">
        <v>0</v>
      </c>
      <c r="J146" s="28">
        <f>Table2[[#This Row],[Quantity]]*Table2[[#This Row],[Unit_Price]]</f>
        <v>21600</v>
      </c>
      <c r="K146" s="31">
        <f t="shared" si="2"/>
        <v>21600</v>
      </c>
      <c r="L146" s="31">
        <f>Table2[[#This Row],[gross sales]]-Table2[[#This Row],[net sale]]</f>
        <v>0</v>
      </c>
      <c r="M146" s="36" t="str">
        <f>TEXT(B146,"mmm")</f>
        <v>May</v>
      </c>
    </row>
    <row r="147" spans="1:13">
      <c r="A147" s="19">
        <v>1146</v>
      </c>
      <c r="B147" s="18">
        <v>45867</v>
      </c>
      <c r="C147" s="19" t="s">
        <v>34</v>
      </c>
      <c r="D147" s="19" t="s">
        <v>26</v>
      </c>
      <c r="E147" s="19" t="s">
        <v>11</v>
      </c>
      <c r="F147" s="19" t="s">
        <v>18</v>
      </c>
      <c r="G147" s="19">
        <v>20</v>
      </c>
      <c r="H147" s="20">
        <v>15000</v>
      </c>
      <c r="I147" s="24">
        <v>0.1</v>
      </c>
      <c r="J147" s="28">
        <f>Table2[[#This Row],[Quantity]]*Table2[[#This Row],[Unit_Price]]</f>
        <v>300000</v>
      </c>
      <c r="K147" s="31">
        <f t="shared" si="2"/>
        <v>270000</v>
      </c>
      <c r="L147" s="31">
        <f>Table2[[#This Row],[gross sales]]-Table2[[#This Row],[net sale]]</f>
        <v>30000</v>
      </c>
      <c r="M147" s="37" t="str">
        <f>TEXT(B147,"mmm")</f>
        <v>Jul</v>
      </c>
    </row>
    <row r="148" spans="1:13">
      <c r="A148" s="16">
        <v>1147</v>
      </c>
      <c r="B148" s="15">
        <v>45776</v>
      </c>
      <c r="C148" s="16" t="s">
        <v>21</v>
      </c>
      <c r="D148" s="16" t="s">
        <v>10</v>
      </c>
      <c r="E148" s="16" t="s">
        <v>22</v>
      </c>
      <c r="F148" s="16" t="s">
        <v>24</v>
      </c>
      <c r="G148" s="16">
        <v>10</v>
      </c>
      <c r="H148" s="17">
        <v>14000</v>
      </c>
      <c r="I148" s="23">
        <v>0.15</v>
      </c>
      <c r="J148" s="28">
        <f>Table2[[#This Row],[Quantity]]*Table2[[#This Row],[Unit_Price]]</f>
        <v>140000</v>
      </c>
      <c r="K148" s="31">
        <f t="shared" si="2"/>
        <v>119000</v>
      </c>
      <c r="L148" s="31">
        <f>Table2[[#This Row],[gross sales]]-Table2[[#This Row],[net sale]]</f>
        <v>21000</v>
      </c>
      <c r="M148" s="36" t="str">
        <f>TEXT(B148,"mmm")</f>
        <v>Apr</v>
      </c>
    </row>
    <row r="149" spans="1:13">
      <c r="A149" s="19">
        <v>1148</v>
      </c>
      <c r="B149" s="18">
        <v>46009</v>
      </c>
      <c r="C149" s="19" t="s">
        <v>19</v>
      </c>
      <c r="D149" s="19" t="s">
        <v>10</v>
      </c>
      <c r="E149" s="19" t="s">
        <v>17</v>
      </c>
      <c r="F149" s="19" t="s">
        <v>15</v>
      </c>
      <c r="G149" s="19">
        <v>9</v>
      </c>
      <c r="H149" s="19">
        <v>800</v>
      </c>
      <c r="I149" s="24">
        <v>0.15</v>
      </c>
      <c r="J149" s="28">
        <f>Table2[[#This Row],[Quantity]]*Table2[[#This Row],[Unit_Price]]</f>
        <v>7200</v>
      </c>
      <c r="K149" s="31">
        <f t="shared" si="2"/>
        <v>6120</v>
      </c>
      <c r="L149" s="31">
        <f>Table2[[#This Row],[gross sales]]-Table2[[#This Row],[net sale]]</f>
        <v>1080</v>
      </c>
      <c r="M149" s="37" t="str">
        <f>TEXT(B149,"mmm")</f>
        <v>Dec</v>
      </c>
    </row>
    <row r="150" spans="1:13">
      <c r="A150" s="16">
        <v>1149</v>
      </c>
      <c r="B150" s="15">
        <v>45716</v>
      </c>
      <c r="C150" s="16" t="s">
        <v>25</v>
      </c>
      <c r="D150" s="16" t="s">
        <v>26</v>
      </c>
      <c r="E150" s="16" t="s">
        <v>17</v>
      </c>
      <c r="F150" s="16" t="s">
        <v>27</v>
      </c>
      <c r="G150" s="16">
        <v>8</v>
      </c>
      <c r="H150" s="17">
        <v>11000</v>
      </c>
      <c r="I150" s="23">
        <v>0.15</v>
      </c>
      <c r="J150" s="28">
        <f>Table2[[#This Row],[Quantity]]*Table2[[#This Row],[Unit_Price]]</f>
        <v>88000</v>
      </c>
      <c r="K150" s="31">
        <f t="shared" si="2"/>
        <v>74800</v>
      </c>
      <c r="L150" s="31">
        <f>Table2[[#This Row],[gross sales]]-Table2[[#This Row],[net sale]]</f>
        <v>13200</v>
      </c>
      <c r="M150" s="36" t="str">
        <f>TEXT(B150,"mmm")</f>
        <v>Feb</v>
      </c>
    </row>
    <row r="151" spans="1:13">
      <c r="A151" s="19">
        <v>1150</v>
      </c>
      <c r="B151" s="18">
        <v>45730</v>
      </c>
      <c r="C151" s="19" t="s">
        <v>16</v>
      </c>
      <c r="D151" s="19" t="s">
        <v>10</v>
      </c>
      <c r="E151" s="19" t="s">
        <v>11</v>
      </c>
      <c r="F151" s="19" t="s">
        <v>27</v>
      </c>
      <c r="G151" s="19">
        <v>2</v>
      </c>
      <c r="H151" s="20">
        <v>18000</v>
      </c>
      <c r="I151" s="24">
        <v>0.05</v>
      </c>
      <c r="J151" s="28">
        <f>Table2[[#This Row],[Quantity]]*Table2[[#This Row],[Unit_Price]]</f>
        <v>36000</v>
      </c>
      <c r="K151" s="31">
        <f t="shared" si="2"/>
        <v>34200</v>
      </c>
      <c r="L151" s="31">
        <f>Table2[[#This Row],[gross sales]]-Table2[[#This Row],[net sale]]</f>
        <v>1800</v>
      </c>
      <c r="M151" s="37" t="str">
        <f>TEXT(B151,"mmm")</f>
        <v>Mar</v>
      </c>
    </row>
    <row r="152" spans="1:13">
      <c r="A152" s="16">
        <v>1151</v>
      </c>
      <c r="B152" s="15">
        <v>45882</v>
      </c>
      <c r="C152" s="16" t="s">
        <v>9</v>
      </c>
      <c r="D152" s="16" t="s">
        <v>10</v>
      </c>
      <c r="E152" s="16" t="s">
        <v>11</v>
      </c>
      <c r="F152" s="16" t="s">
        <v>15</v>
      </c>
      <c r="G152" s="16">
        <v>15</v>
      </c>
      <c r="H152" s="17">
        <v>18000</v>
      </c>
      <c r="I152" s="23">
        <v>0.15</v>
      </c>
      <c r="J152" s="28">
        <f>Table2[[#This Row],[Quantity]]*Table2[[#This Row],[Unit_Price]]</f>
        <v>270000</v>
      </c>
      <c r="K152" s="31">
        <f t="shared" si="2"/>
        <v>229500</v>
      </c>
      <c r="L152" s="31">
        <f>Table2[[#This Row],[gross sales]]-Table2[[#This Row],[net sale]]</f>
        <v>40500</v>
      </c>
      <c r="M152" s="36" t="str">
        <f>TEXT(B152,"mmm")</f>
        <v>Aug</v>
      </c>
    </row>
    <row r="153" spans="1:13">
      <c r="A153" s="19">
        <v>1152</v>
      </c>
      <c r="B153" s="18">
        <v>45797</v>
      </c>
      <c r="C153" s="19" t="s">
        <v>25</v>
      </c>
      <c r="D153" s="19" t="s">
        <v>26</v>
      </c>
      <c r="E153" s="19" t="s">
        <v>22</v>
      </c>
      <c r="F153" s="19" t="s">
        <v>24</v>
      </c>
      <c r="G153" s="19">
        <v>18</v>
      </c>
      <c r="H153" s="20">
        <v>11000</v>
      </c>
      <c r="I153" s="24">
        <v>0.1</v>
      </c>
      <c r="J153" s="28">
        <f>Table2[[#This Row],[Quantity]]*Table2[[#This Row],[Unit_Price]]</f>
        <v>198000</v>
      </c>
      <c r="K153" s="31">
        <f t="shared" si="2"/>
        <v>178200</v>
      </c>
      <c r="L153" s="31">
        <f>Table2[[#This Row],[gross sales]]-Table2[[#This Row],[net sale]]</f>
        <v>19800</v>
      </c>
      <c r="M153" s="37" t="str">
        <f>TEXT(B153,"mmm")</f>
        <v>May</v>
      </c>
    </row>
    <row r="154" spans="1:13">
      <c r="A154" s="16">
        <v>1153</v>
      </c>
      <c r="B154" s="15">
        <v>45964</v>
      </c>
      <c r="C154" s="16" t="s">
        <v>16</v>
      </c>
      <c r="D154" s="16" t="s">
        <v>10</v>
      </c>
      <c r="E154" s="16" t="s">
        <v>11</v>
      </c>
      <c r="F154" s="16" t="s">
        <v>27</v>
      </c>
      <c r="G154" s="16">
        <v>14</v>
      </c>
      <c r="H154" s="17">
        <v>55000</v>
      </c>
      <c r="I154" s="23">
        <v>0.15</v>
      </c>
      <c r="J154" s="28">
        <f>Table2[[#This Row],[Quantity]]*Table2[[#This Row],[Unit_Price]]</f>
        <v>770000</v>
      </c>
      <c r="K154" s="31">
        <f t="shared" si="2"/>
        <v>654500</v>
      </c>
      <c r="L154" s="31">
        <f>Table2[[#This Row],[gross sales]]-Table2[[#This Row],[net sale]]</f>
        <v>115500</v>
      </c>
      <c r="M154" s="36" t="str">
        <f>TEXT(B154,"mmm")</f>
        <v>Nov</v>
      </c>
    </row>
    <row r="155" spans="1:13">
      <c r="A155" s="19">
        <v>1154</v>
      </c>
      <c r="B155" s="18">
        <v>45671</v>
      </c>
      <c r="C155" s="19" t="s">
        <v>9</v>
      </c>
      <c r="D155" s="19" t="s">
        <v>10</v>
      </c>
      <c r="E155" s="19" t="s">
        <v>14</v>
      </c>
      <c r="F155" s="19" t="s">
        <v>27</v>
      </c>
      <c r="G155" s="19">
        <v>8</v>
      </c>
      <c r="H155" s="20">
        <v>18000</v>
      </c>
      <c r="I155" s="24">
        <v>0.15</v>
      </c>
      <c r="J155" s="28">
        <f>Table2[[#This Row],[Quantity]]*Table2[[#This Row],[Unit_Price]]</f>
        <v>144000</v>
      </c>
      <c r="K155" s="31">
        <f t="shared" si="2"/>
        <v>122400</v>
      </c>
      <c r="L155" s="31">
        <f>Table2[[#This Row],[gross sales]]-Table2[[#This Row],[net sale]]</f>
        <v>21600</v>
      </c>
      <c r="M155" s="37" t="str">
        <f>TEXT(B155,"mmm")</f>
        <v>Jan</v>
      </c>
    </row>
    <row r="156" spans="1:13">
      <c r="A156" s="16">
        <v>1155</v>
      </c>
      <c r="B156" s="15">
        <v>45953</v>
      </c>
      <c r="C156" s="16" t="s">
        <v>16</v>
      </c>
      <c r="D156" s="16" t="s">
        <v>10</v>
      </c>
      <c r="E156" s="16" t="s">
        <v>22</v>
      </c>
      <c r="F156" s="16" t="s">
        <v>27</v>
      </c>
      <c r="G156" s="16">
        <v>6</v>
      </c>
      <c r="H156" s="17">
        <v>55000</v>
      </c>
      <c r="I156" s="23">
        <v>0.1</v>
      </c>
      <c r="J156" s="28">
        <f>Table2[[#This Row],[Quantity]]*Table2[[#This Row],[Unit_Price]]</f>
        <v>330000</v>
      </c>
      <c r="K156" s="31">
        <f t="shared" si="2"/>
        <v>297000</v>
      </c>
      <c r="L156" s="31">
        <f>Table2[[#This Row],[gross sales]]-Table2[[#This Row],[net sale]]</f>
        <v>33000</v>
      </c>
      <c r="M156" s="36" t="str">
        <f>TEXT(B156,"mmm")</f>
        <v>Oct</v>
      </c>
    </row>
    <row r="157" spans="1:13">
      <c r="A157" s="19">
        <v>1156</v>
      </c>
      <c r="B157" s="18">
        <v>45750</v>
      </c>
      <c r="C157" s="19" t="s">
        <v>28</v>
      </c>
      <c r="D157" s="19" t="s">
        <v>26</v>
      </c>
      <c r="E157" s="19" t="s">
        <v>22</v>
      </c>
      <c r="F157" s="19" t="s">
        <v>24</v>
      </c>
      <c r="G157" s="19">
        <v>14</v>
      </c>
      <c r="H157" s="20">
        <v>9000</v>
      </c>
      <c r="I157" s="24">
        <v>0.15</v>
      </c>
      <c r="J157" s="28">
        <f>Table2[[#This Row],[Quantity]]*Table2[[#This Row],[Unit_Price]]</f>
        <v>126000</v>
      </c>
      <c r="K157" s="31">
        <f t="shared" si="2"/>
        <v>107100</v>
      </c>
      <c r="L157" s="31">
        <f>Table2[[#This Row],[gross sales]]-Table2[[#This Row],[net sale]]</f>
        <v>18900</v>
      </c>
      <c r="M157" s="37" t="str">
        <f>TEXT(B157,"mmm")</f>
        <v>Apr</v>
      </c>
    </row>
    <row r="158" spans="1:13">
      <c r="A158" s="16">
        <v>1157</v>
      </c>
      <c r="B158" s="15">
        <v>45898</v>
      </c>
      <c r="C158" s="16" t="s">
        <v>33</v>
      </c>
      <c r="D158" s="16" t="s">
        <v>10</v>
      </c>
      <c r="E158" s="16" t="s">
        <v>11</v>
      </c>
      <c r="F158" s="16" t="s">
        <v>24</v>
      </c>
      <c r="G158" s="16">
        <v>14</v>
      </c>
      <c r="H158" s="17">
        <v>2500</v>
      </c>
      <c r="I158" s="23">
        <v>0.08</v>
      </c>
      <c r="J158" s="28">
        <f>Table2[[#This Row],[Quantity]]*Table2[[#This Row],[Unit_Price]]</f>
        <v>35000</v>
      </c>
      <c r="K158" s="31">
        <f t="shared" si="2"/>
        <v>32200</v>
      </c>
      <c r="L158" s="31">
        <f>Table2[[#This Row],[gross sales]]-Table2[[#This Row],[net sale]]</f>
        <v>2800</v>
      </c>
      <c r="M158" s="36" t="str">
        <f>TEXT(B158,"mmm")</f>
        <v>Aug</v>
      </c>
    </row>
    <row r="159" spans="1:13">
      <c r="A159" s="19">
        <v>1158</v>
      </c>
      <c r="B159" s="18">
        <v>45740</v>
      </c>
      <c r="C159" s="19" t="s">
        <v>33</v>
      </c>
      <c r="D159" s="19" t="s">
        <v>10</v>
      </c>
      <c r="E159" s="19" t="s">
        <v>22</v>
      </c>
      <c r="F159" s="19" t="s">
        <v>27</v>
      </c>
      <c r="G159" s="19">
        <v>14</v>
      </c>
      <c r="H159" s="20">
        <v>2500</v>
      </c>
      <c r="I159" s="24">
        <v>0.15</v>
      </c>
      <c r="J159" s="28">
        <f>Table2[[#This Row],[Quantity]]*Table2[[#This Row],[Unit_Price]]</f>
        <v>35000</v>
      </c>
      <c r="K159" s="31">
        <f t="shared" si="2"/>
        <v>29750</v>
      </c>
      <c r="L159" s="31">
        <f>Table2[[#This Row],[gross sales]]-Table2[[#This Row],[net sale]]</f>
        <v>5250</v>
      </c>
      <c r="M159" s="37" t="str">
        <f>TEXT(B159,"mmm")</f>
        <v>Mar</v>
      </c>
    </row>
    <row r="160" spans="1:13">
      <c r="A160" s="16">
        <v>1159</v>
      </c>
      <c r="B160" s="15">
        <v>45997</v>
      </c>
      <c r="C160" s="16" t="s">
        <v>31</v>
      </c>
      <c r="D160" s="16" t="s">
        <v>26</v>
      </c>
      <c r="E160" s="16" t="s">
        <v>22</v>
      </c>
      <c r="F160" s="16" t="s">
        <v>24</v>
      </c>
      <c r="G160" s="16">
        <v>18</v>
      </c>
      <c r="H160" s="17">
        <v>8500</v>
      </c>
      <c r="I160" s="23">
        <v>0</v>
      </c>
      <c r="J160" s="28">
        <f>Table2[[#This Row],[Quantity]]*Table2[[#This Row],[Unit_Price]]</f>
        <v>153000</v>
      </c>
      <c r="K160" s="31">
        <f t="shared" si="2"/>
        <v>153000</v>
      </c>
      <c r="L160" s="31">
        <f>Table2[[#This Row],[gross sales]]-Table2[[#This Row],[net sale]]</f>
        <v>0</v>
      </c>
      <c r="M160" s="36" t="str">
        <f>TEXT(B160,"mmm")</f>
        <v>Dec</v>
      </c>
    </row>
    <row r="161" spans="1:13">
      <c r="A161" s="19">
        <v>1160</v>
      </c>
      <c r="B161" s="18">
        <v>45819</v>
      </c>
      <c r="C161" s="19" t="s">
        <v>21</v>
      </c>
      <c r="D161" s="19" t="s">
        <v>10</v>
      </c>
      <c r="E161" s="19" t="s">
        <v>22</v>
      </c>
      <c r="F161" s="19" t="s">
        <v>18</v>
      </c>
      <c r="G161" s="19">
        <v>11</v>
      </c>
      <c r="H161" s="20">
        <v>14000</v>
      </c>
      <c r="I161" s="24">
        <v>0</v>
      </c>
      <c r="J161" s="28">
        <f>Table2[[#This Row],[Quantity]]*Table2[[#This Row],[Unit_Price]]</f>
        <v>154000</v>
      </c>
      <c r="K161" s="31">
        <f t="shared" si="2"/>
        <v>154000</v>
      </c>
      <c r="L161" s="31">
        <f>Table2[[#This Row],[gross sales]]-Table2[[#This Row],[net sale]]</f>
        <v>0</v>
      </c>
      <c r="M161" s="37" t="str">
        <f>TEXT(B161,"mmm")</f>
        <v>Jun</v>
      </c>
    </row>
    <row r="162" spans="1:13">
      <c r="A162" s="16">
        <v>1161</v>
      </c>
      <c r="B162" s="15">
        <v>45994</v>
      </c>
      <c r="C162" s="16" t="s">
        <v>38</v>
      </c>
      <c r="D162" s="16" t="s">
        <v>10</v>
      </c>
      <c r="E162" s="16" t="s">
        <v>22</v>
      </c>
      <c r="F162" s="16" t="s">
        <v>18</v>
      </c>
      <c r="G162" s="16">
        <v>18</v>
      </c>
      <c r="H162" s="17">
        <v>42000</v>
      </c>
      <c r="I162" s="23">
        <v>0.1</v>
      </c>
      <c r="J162" s="28">
        <f>Table2[[#This Row],[Quantity]]*Table2[[#This Row],[Unit_Price]]</f>
        <v>756000</v>
      </c>
      <c r="K162" s="31">
        <f t="shared" si="2"/>
        <v>680400</v>
      </c>
      <c r="L162" s="31">
        <f>Table2[[#This Row],[gross sales]]-Table2[[#This Row],[net sale]]</f>
        <v>75600</v>
      </c>
      <c r="M162" s="36" t="str">
        <f>TEXT(B162,"mmm")</f>
        <v>Dec</v>
      </c>
    </row>
    <row r="163" spans="1:13">
      <c r="A163" s="19">
        <v>1162</v>
      </c>
      <c r="B163" s="18">
        <v>45754</v>
      </c>
      <c r="C163" s="19" t="s">
        <v>25</v>
      </c>
      <c r="D163" s="19" t="s">
        <v>26</v>
      </c>
      <c r="E163" s="19" t="s">
        <v>22</v>
      </c>
      <c r="F163" s="19" t="s">
        <v>20</v>
      </c>
      <c r="G163" s="19">
        <v>12</v>
      </c>
      <c r="H163" s="20">
        <v>11000</v>
      </c>
      <c r="I163" s="24">
        <v>0.12</v>
      </c>
      <c r="J163" s="28">
        <f>Table2[[#This Row],[Quantity]]*Table2[[#This Row],[Unit_Price]]</f>
        <v>132000</v>
      </c>
      <c r="K163" s="31">
        <f t="shared" si="2"/>
        <v>116160</v>
      </c>
      <c r="L163" s="31">
        <f>Table2[[#This Row],[gross sales]]-Table2[[#This Row],[net sale]]</f>
        <v>15840</v>
      </c>
      <c r="M163" s="37" t="str">
        <f>TEXT(B163,"mmm")</f>
        <v>Apr</v>
      </c>
    </row>
    <row r="164" spans="1:13">
      <c r="A164" s="16">
        <v>1163</v>
      </c>
      <c r="B164" s="15">
        <v>45684</v>
      </c>
      <c r="C164" s="16" t="s">
        <v>19</v>
      </c>
      <c r="D164" s="16" t="s">
        <v>10</v>
      </c>
      <c r="E164" s="16" t="s">
        <v>17</v>
      </c>
      <c r="F164" s="16" t="s">
        <v>27</v>
      </c>
      <c r="G164" s="16">
        <v>9</v>
      </c>
      <c r="H164" s="16">
        <v>800</v>
      </c>
      <c r="I164" s="23">
        <v>0.12</v>
      </c>
      <c r="J164" s="28">
        <f>Table2[[#This Row],[Quantity]]*Table2[[#This Row],[Unit_Price]]</f>
        <v>7200</v>
      </c>
      <c r="K164" s="31">
        <f t="shared" si="2"/>
        <v>6336</v>
      </c>
      <c r="L164" s="31">
        <f>Table2[[#This Row],[gross sales]]-Table2[[#This Row],[net sale]]</f>
        <v>864</v>
      </c>
      <c r="M164" s="36" t="str">
        <f>TEXT(B164,"mmm")</f>
        <v>Jan</v>
      </c>
    </row>
    <row r="165" spans="1:13">
      <c r="A165" s="19">
        <v>1164</v>
      </c>
      <c r="B165" s="18">
        <v>45882</v>
      </c>
      <c r="C165" s="19" t="s">
        <v>37</v>
      </c>
      <c r="D165" s="19" t="s">
        <v>36</v>
      </c>
      <c r="E165" s="19" t="s">
        <v>14</v>
      </c>
      <c r="F165" s="19" t="s">
        <v>12</v>
      </c>
      <c r="G165" s="19">
        <v>16</v>
      </c>
      <c r="H165" s="20">
        <v>1800</v>
      </c>
      <c r="I165" s="24">
        <v>0</v>
      </c>
      <c r="J165" s="28">
        <f>Table2[[#This Row],[Quantity]]*Table2[[#This Row],[Unit_Price]]</f>
        <v>28800</v>
      </c>
      <c r="K165" s="31">
        <f t="shared" si="2"/>
        <v>28800</v>
      </c>
      <c r="L165" s="31">
        <f>Table2[[#This Row],[gross sales]]-Table2[[#This Row],[net sale]]</f>
        <v>0</v>
      </c>
      <c r="M165" s="37" t="str">
        <f>TEXT(B165,"mmm")</f>
        <v>Aug</v>
      </c>
    </row>
    <row r="166" spans="1:13">
      <c r="A166" s="16">
        <v>1165</v>
      </c>
      <c r="B166" s="15">
        <v>46021</v>
      </c>
      <c r="C166" s="16" t="s">
        <v>13</v>
      </c>
      <c r="D166" s="16" t="s">
        <v>10</v>
      </c>
      <c r="E166" s="16" t="s">
        <v>14</v>
      </c>
      <c r="F166" s="16" t="s">
        <v>15</v>
      </c>
      <c r="G166" s="16">
        <v>10</v>
      </c>
      <c r="H166" s="17">
        <v>1200</v>
      </c>
      <c r="I166" s="23">
        <v>0.12</v>
      </c>
      <c r="J166" s="28">
        <f>Table2[[#This Row],[Quantity]]*Table2[[#This Row],[Unit_Price]]</f>
        <v>12000</v>
      </c>
      <c r="K166" s="31">
        <f t="shared" si="2"/>
        <v>10560</v>
      </c>
      <c r="L166" s="31">
        <f>Table2[[#This Row],[gross sales]]-Table2[[#This Row],[net sale]]</f>
        <v>1440</v>
      </c>
      <c r="M166" s="36" t="str">
        <f>TEXT(B166,"mmm")</f>
        <v>Dec</v>
      </c>
    </row>
    <row r="167" spans="1:13">
      <c r="A167" s="19">
        <v>1166</v>
      </c>
      <c r="B167" s="18">
        <v>45705</v>
      </c>
      <c r="C167" s="19" t="s">
        <v>19</v>
      </c>
      <c r="D167" s="19" t="s">
        <v>10</v>
      </c>
      <c r="E167" s="19" t="s">
        <v>14</v>
      </c>
      <c r="F167" s="19" t="s">
        <v>32</v>
      </c>
      <c r="G167" s="19">
        <v>4</v>
      </c>
      <c r="H167" s="19">
        <v>800</v>
      </c>
      <c r="I167" s="24">
        <v>0.1</v>
      </c>
      <c r="J167" s="28">
        <f>Table2[[#This Row],[Quantity]]*Table2[[#This Row],[Unit_Price]]</f>
        <v>3200</v>
      </c>
      <c r="K167" s="31">
        <f t="shared" si="2"/>
        <v>2880</v>
      </c>
      <c r="L167" s="31">
        <f>Table2[[#This Row],[gross sales]]-Table2[[#This Row],[net sale]]</f>
        <v>320</v>
      </c>
      <c r="M167" s="37" t="str">
        <f>TEXT(B167,"mmm")</f>
        <v>Feb</v>
      </c>
    </row>
    <row r="168" spans="1:13">
      <c r="A168" s="16">
        <v>1167</v>
      </c>
      <c r="B168" s="15">
        <v>45913</v>
      </c>
      <c r="C168" s="16" t="s">
        <v>37</v>
      </c>
      <c r="D168" s="16" t="s">
        <v>36</v>
      </c>
      <c r="E168" s="16" t="s">
        <v>11</v>
      </c>
      <c r="F168" s="16" t="s">
        <v>15</v>
      </c>
      <c r="G168" s="16">
        <v>10</v>
      </c>
      <c r="H168" s="17">
        <v>1800</v>
      </c>
      <c r="I168" s="23">
        <v>0.12</v>
      </c>
      <c r="J168" s="28">
        <f>Table2[[#This Row],[Quantity]]*Table2[[#This Row],[Unit_Price]]</f>
        <v>18000</v>
      </c>
      <c r="K168" s="31">
        <f t="shared" si="2"/>
        <v>15840</v>
      </c>
      <c r="L168" s="31">
        <f>Table2[[#This Row],[gross sales]]-Table2[[#This Row],[net sale]]</f>
        <v>2160</v>
      </c>
      <c r="M168" s="36" t="str">
        <f>TEXT(B168,"mmm")</f>
        <v>Sep</v>
      </c>
    </row>
    <row r="169" spans="1:13">
      <c r="A169" s="19">
        <v>1168</v>
      </c>
      <c r="B169" s="18">
        <v>45905</v>
      </c>
      <c r="C169" s="19" t="s">
        <v>34</v>
      </c>
      <c r="D169" s="19" t="s">
        <v>26</v>
      </c>
      <c r="E169" s="19" t="s">
        <v>17</v>
      </c>
      <c r="F169" s="19" t="s">
        <v>15</v>
      </c>
      <c r="G169" s="19">
        <v>8</v>
      </c>
      <c r="H169" s="20">
        <v>15000</v>
      </c>
      <c r="I169" s="24">
        <v>0.1</v>
      </c>
      <c r="J169" s="28">
        <f>Table2[[#This Row],[Quantity]]*Table2[[#This Row],[Unit_Price]]</f>
        <v>120000</v>
      </c>
      <c r="K169" s="31">
        <f t="shared" si="2"/>
        <v>108000</v>
      </c>
      <c r="L169" s="31">
        <f>Table2[[#This Row],[gross sales]]-Table2[[#This Row],[net sale]]</f>
        <v>12000</v>
      </c>
      <c r="M169" s="37" t="str">
        <f>TEXT(B169,"mmm")</f>
        <v>Sep</v>
      </c>
    </row>
    <row r="170" spans="1:13">
      <c r="A170" s="16">
        <v>1169</v>
      </c>
      <c r="B170" s="15">
        <v>45755</v>
      </c>
      <c r="C170" s="16" t="s">
        <v>37</v>
      </c>
      <c r="D170" s="16" t="s">
        <v>36</v>
      </c>
      <c r="E170" s="16" t="s">
        <v>17</v>
      </c>
      <c r="F170" s="16" t="s">
        <v>24</v>
      </c>
      <c r="G170" s="16">
        <v>20</v>
      </c>
      <c r="H170" s="17">
        <v>1800</v>
      </c>
      <c r="I170" s="23">
        <v>0.12</v>
      </c>
      <c r="J170" s="28">
        <f>Table2[[#This Row],[Quantity]]*Table2[[#This Row],[Unit_Price]]</f>
        <v>36000</v>
      </c>
      <c r="K170" s="31">
        <f t="shared" si="2"/>
        <v>31680</v>
      </c>
      <c r="L170" s="31">
        <f>Table2[[#This Row],[gross sales]]-Table2[[#This Row],[net sale]]</f>
        <v>4320</v>
      </c>
      <c r="M170" s="36" t="str">
        <f>TEXT(B170,"mmm")</f>
        <v>Apr</v>
      </c>
    </row>
    <row r="171" spans="1:13">
      <c r="A171" s="19">
        <v>1170</v>
      </c>
      <c r="B171" s="18">
        <v>45799</v>
      </c>
      <c r="C171" s="19" t="s">
        <v>35</v>
      </c>
      <c r="D171" s="19" t="s">
        <v>36</v>
      </c>
      <c r="E171" s="19" t="s">
        <v>11</v>
      </c>
      <c r="F171" s="19" t="s">
        <v>18</v>
      </c>
      <c r="G171" s="19">
        <v>14</v>
      </c>
      <c r="H171" s="20">
        <v>3500</v>
      </c>
      <c r="I171" s="24">
        <v>0.08</v>
      </c>
      <c r="J171" s="28">
        <f>Table2[[#This Row],[Quantity]]*Table2[[#This Row],[Unit_Price]]</f>
        <v>49000</v>
      </c>
      <c r="K171" s="31">
        <f t="shared" si="2"/>
        <v>45080</v>
      </c>
      <c r="L171" s="31">
        <f>Table2[[#This Row],[gross sales]]-Table2[[#This Row],[net sale]]</f>
        <v>3920</v>
      </c>
      <c r="M171" s="37" t="str">
        <f>TEXT(B171,"mmm")</f>
        <v>May</v>
      </c>
    </row>
    <row r="172" spans="1:13">
      <c r="A172" s="16">
        <v>1171</v>
      </c>
      <c r="B172" s="15">
        <v>45802</v>
      </c>
      <c r="C172" s="16" t="s">
        <v>39</v>
      </c>
      <c r="D172" s="16" t="s">
        <v>30</v>
      </c>
      <c r="E172" s="16" t="s">
        <v>22</v>
      </c>
      <c r="F172" s="16" t="s">
        <v>32</v>
      </c>
      <c r="G172" s="16">
        <v>10</v>
      </c>
      <c r="H172" s="16">
        <v>180</v>
      </c>
      <c r="I172" s="23">
        <v>0.12</v>
      </c>
      <c r="J172" s="28">
        <f>Table2[[#This Row],[Quantity]]*Table2[[#This Row],[Unit_Price]]</f>
        <v>1800</v>
      </c>
      <c r="K172" s="31">
        <f t="shared" si="2"/>
        <v>1584</v>
      </c>
      <c r="L172" s="31">
        <f>Table2[[#This Row],[gross sales]]-Table2[[#This Row],[net sale]]</f>
        <v>216</v>
      </c>
      <c r="M172" s="36" t="str">
        <f>TEXT(B172,"mmm")</f>
        <v>May</v>
      </c>
    </row>
    <row r="173" spans="1:13">
      <c r="A173" s="19">
        <v>1172</v>
      </c>
      <c r="B173" s="18">
        <v>45886</v>
      </c>
      <c r="C173" s="19" t="s">
        <v>25</v>
      </c>
      <c r="D173" s="19" t="s">
        <v>26</v>
      </c>
      <c r="E173" s="19" t="s">
        <v>11</v>
      </c>
      <c r="F173" s="19" t="s">
        <v>15</v>
      </c>
      <c r="G173" s="19">
        <v>16</v>
      </c>
      <c r="H173" s="20">
        <v>11000</v>
      </c>
      <c r="I173" s="24">
        <v>0.08</v>
      </c>
      <c r="J173" s="28">
        <f>Table2[[#This Row],[Quantity]]*Table2[[#This Row],[Unit_Price]]</f>
        <v>176000</v>
      </c>
      <c r="K173" s="31">
        <f t="shared" si="2"/>
        <v>161920</v>
      </c>
      <c r="L173" s="31">
        <f>Table2[[#This Row],[gross sales]]-Table2[[#This Row],[net sale]]</f>
        <v>14080</v>
      </c>
      <c r="M173" s="37" t="str">
        <f>TEXT(B173,"mmm")</f>
        <v>Aug</v>
      </c>
    </row>
    <row r="174" spans="1:13">
      <c r="A174" s="16">
        <v>1173</v>
      </c>
      <c r="B174" s="15">
        <v>45891</v>
      </c>
      <c r="C174" s="16" t="s">
        <v>37</v>
      </c>
      <c r="D174" s="16" t="s">
        <v>36</v>
      </c>
      <c r="E174" s="16" t="s">
        <v>17</v>
      </c>
      <c r="F174" s="16" t="s">
        <v>15</v>
      </c>
      <c r="G174" s="16">
        <v>11</v>
      </c>
      <c r="H174" s="17">
        <v>1800</v>
      </c>
      <c r="I174" s="23">
        <v>0.05</v>
      </c>
      <c r="J174" s="28">
        <f>Table2[[#This Row],[Quantity]]*Table2[[#This Row],[Unit_Price]]</f>
        <v>19800</v>
      </c>
      <c r="K174" s="31">
        <f t="shared" si="2"/>
        <v>18810</v>
      </c>
      <c r="L174" s="31">
        <f>Table2[[#This Row],[gross sales]]-Table2[[#This Row],[net sale]]</f>
        <v>990</v>
      </c>
      <c r="M174" s="36" t="str">
        <f>TEXT(B174,"mmm")</f>
        <v>Aug</v>
      </c>
    </row>
    <row r="175" spans="1:13">
      <c r="A175" s="19">
        <v>1174</v>
      </c>
      <c r="B175" s="18">
        <v>45777</v>
      </c>
      <c r="C175" s="19" t="s">
        <v>38</v>
      </c>
      <c r="D175" s="19" t="s">
        <v>10</v>
      </c>
      <c r="E175" s="19" t="s">
        <v>11</v>
      </c>
      <c r="F175" s="19" t="s">
        <v>20</v>
      </c>
      <c r="G175" s="19">
        <v>14</v>
      </c>
      <c r="H175" s="20">
        <v>42000</v>
      </c>
      <c r="I175" s="24">
        <v>0</v>
      </c>
      <c r="J175" s="28">
        <f>Table2[[#This Row],[Quantity]]*Table2[[#This Row],[Unit_Price]]</f>
        <v>588000</v>
      </c>
      <c r="K175" s="31">
        <f t="shared" si="2"/>
        <v>588000</v>
      </c>
      <c r="L175" s="31">
        <f>Table2[[#This Row],[gross sales]]-Table2[[#This Row],[net sale]]</f>
        <v>0</v>
      </c>
      <c r="M175" s="37" t="str">
        <f>TEXT(B175,"mmm")</f>
        <v>Apr</v>
      </c>
    </row>
    <row r="176" spans="1:13">
      <c r="A176" s="16">
        <v>1175</v>
      </c>
      <c r="B176" s="15">
        <v>46019</v>
      </c>
      <c r="C176" s="16" t="s">
        <v>37</v>
      </c>
      <c r="D176" s="16" t="s">
        <v>36</v>
      </c>
      <c r="E176" s="16" t="s">
        <v>17</v>
      </c>
      <c r="F176" s="16" t="s">
        <v>20</v>
      </c>
      <c r="G176" s="16">
        <v>13</v>
      </c>
      <c r="H176" s="17">
        <v>1800</v>
      </c>
      <c r="I176" s="23">
        <v>0.1</v>
      </c>
      <c r="J176" s="28">
        <f>Table2[[#This Row],[Quantity]]*Table2[[#This Row],[Unit_Price]]</f>
        <v>23400</v>
      </c>
      <c r="K176" s="31">
        <f t="shared" si="2"/>
        <v>21060</v>
      </c>
      <c r="L176" s="31">
        <f>Table2[[#This Row],[gross sales]]-Table2[[#This Row],[net sale]]</f>
        <v>2340</v>
      </c>
      <c r="M176" s="36" t="str">
        <f>TEXT(B176,"mmm")</f>
        <v>Dec</v>
      </c>
    </row>
    <row r="177" spans="1:13">
      <c r="A177" s="19">
        <v>1176</v>
      </c>
      <c r="B177" s="18">
        <v>45676</v>
      </c>
      <c r="C177" s="19" t="s">
        <v>13</v>
      </c>
      <c r="D177" s="19" t="s">
        <v>10</v>
      </c>
      <c r="E177" s="19" t="s">
        <v>11</v>
      </c>
      <c r="F177" s="19" t="s">
        <v>24</v>
      </c>
      <c r="G177" s="19">
        <v>17</v>
      </c>
      <c r="H177" s="20">
        <v>1200</v>
      </c>
      <c r="I177" s="24">
        <v>0.12</v>
      </c>
      <c r="J177" s="28">
        <f>Table2[[#This Row],[Quantity]]*Table2[[#This Row],[Unit_Price]]</f>
        <v>20400</v>
      </c>
      <c r="K177" s="31">
        <f t="shared" si="2"/>
        <v>17952</v>
      </c>
      <c r="L177" s="31">
        <f>Table2[[#This Row],[gross sales]]-Table2[[#This Row],[net sale]]</f>
        <v>2448</v>
      </c>
      <c r="M177" s="37" t="str">
        <f>TEXT(B177,"mmm")</f>
        <v>Jan</v>
      </c>
    </row>
    <row r="178" spans="1:13">
      <c r="A178" s="16">
        <v>1177</v>
      </c>
      <c r="B178" s="15">
        <v>45883</v>
      </c>
      <c r="C178" s="16" t="s">
        <v>9</v>
      </c>
      <c r="D178" s="16" t="s">
        <v>10</v>
      </c>
      <c r="E178" s="16" t="s">
        <v>14</v>
      </c>
      <c r="F178" s="16" t="s">
        <v>32</v>
      </c>
      <c r="G178" s="16">
        <v>17</v>
      </c>
      <c r="H178" s="17">
        <v>18000</v>
      </c>
      <c r="I178" s="23">
        <v>0.1</v>
      </c>
      <c r="J178" s="28">
        <f>Table2[[#This Row],[Quantity]]*Table2[[#This Row],[Unit_Price]]</f>
        <v>306000</v>
      </c>
      <c r="K178" s="31">
        <f t="shared" si="2"/>
        <v>275400</v>
      </c>
      <c r="L178" s="31">
        <f>Table2[[#This Row],[gross sales]]-Table2[[#This Row],[net sale]]</f>
        <v>30600</v>
      </c>
      <c r="M178" s="36" t="str">
        <f>TEXT(B178,"mmm")</f>
        <v>Aug</v>
      </c>
    </row>
    <row r="179" spans="1:13">
      <c r="A179" s="19">
        <v>1178</v>
      </c>
      <c r="B179" s="18">
        <v>45867</v>
      </c>
      <c r="C179" s="19" t="s">
        <v>38</v>
      </c>
      <c r="D179" s="19" t="s">
        <v>10</v>
      </c>
      <c r="E179" s="19" t="s">
        <v>22</v>
      </c>
      <c r="F179" s="19" t="s">
        <v>27</v>
      </c>
      <c r="G179" s="19">
        <v>5</v>
      </c>
      <c r="H179" s="20">
        <v>42000</v>
      </c>
      <c r="I179" s="24">
        <v>0</v>
      </c>
      <c r="J179" s="28">
        <f>Table2[[#This Row],[Quantity]]*Table2[[#This Row],[Unit_Price]]</f>
        <v>210000</v>
      </c>
      <c r="K179" s="31">
        <f t="shared" si="2"/>
        <v>210000</v>
      </c>
      <c r="L179" s="31">
        <f>Table2[[#This Row],[gross sales]]-Table2[[#This Row],[net sale]]</f>
        <v>0</v>
      </c>
      <c r="M179" s="37" t="str">
        <f>TEXT(B179,"mmm")</f>
        <v>Jul</v>
      </c>
    </row>
    <row r="180" spans="1:13">
      <c r="A180" s="16">
        <v>1179</v>
      </c>
      <c r="B180" s="15">
        <v>45831</v>
      </c>
      <c r="C180" s="16" t="s">
        <v>28</v>
      </c>
      <c r="D180" s="16" t="s">
        <v>26</v>
      </c>
      <c r="E180" s="16" t="s">
        <v>14</v>
      </c>
      <c r="F180" s="16" t="s">
        <v>23</v>
      </c>
      <c r="G180" s="16">
        <v>13</v>
      </c>
      <c r="H180" s="17">
        <v>9000</v>
      </c>
      <c r="I180" s="23">
        <v>0.15</v>
      </c>
      <c r="J180" s="28">
        <f>Table2[[#This Row],[Quantity]]*Table2[[#This Row],[Unit_Price]]</f>
        <v>117000</v>
      </c>
      <c r="K180" s="31">
        <f t="shared" si="2"/>
        <v>99450</v>
      </c>
      <c r="L180" s="31">
        <f>Table2[[#This Row],[gross sales]]-Table2[[#This Row],[net sale]]</f>
        <v>17550</v>
      </c>
      <c r="M180" s="36" t="str">
        <f>TEXT(B180,"mmm")</f>
        <v>Jun</v>
      </c>
    </row>
    <row r="181" spans="1:13">
      <c r="A181" s="19">
        <v>1180</v>
      </c>
      <c r="B181" s="18">
        <v>46003</v>
      </c>
      <c r="C181" s="19" t="s">
        <v>38</v>
      </c>
      <c r="D181" s="19" t="s">
        <v>10</v>
      </c>
      <c r="E181" s="19" t="s">
        <v>11</v>
      </c>
      <c r="F181" s="19" t="s">
        <v>20</v>
      </c>
      <c r="G181" s="19">
        <v>18</v>
      </c>
      <c r="H181" s="20">
        <v>42000</v>
      </c>
      <c r="I181" s="24">
        <v>0.1</v>
      </c>
      <c r="J181" s="28">
        <f>Table2[[#This Row],[Quantity]]*Table2[[#This Row],[Unit_Price]]</f>
        <v>756000</v>
      </c>
      <c r="K181" s="31">
        <f t="shared" si="2"/>
        <v>680400</v>
      </c>
      <c r="L181" s="31">
        <f>Table2[[#This Row],[gross sales]]-Table2[[#This Row],[net sale]]</f>
        <v>75600</v>
      </c>
      <c r="M181" s="37" t="str">
        <f>TEXT(B181,"mmm")</f>
        <v>Dec</v>
      </c>
    </row>
    <row r="182" spans="1:13">
      <c r="A182" s="16">
        <v>1181</v>
      </c>
      <c r="B182" s="15">
        <v>45935</v>
      </c>
      <c r="C182" s="16" t="s">
        <v>16</v>
      </c>
      <c r="D182" s="16" t="s">
        <v>10</v>
      </c>
      <c r="E182" s="16" t="s">
        <v>17</v>
      </c>
      <c r="F182" s="16" t="s">
        <v>27</v>
      </c>
      <c r="G182" s="16">
        <v>20</v>
      </c>
      <c r="H182" s="17">
        <v>55000</v>
      </c>
      <c r="I182" s="23">
        <v>0</v>
      </c>
      <c r="J182" s="28">
        <f>Table2[[#This Row],[Quantity]]*Table2[[#This Row],[Unit_Price]]</f>
        <v>1100000</v>
      </c>
      <c r="K182" s="31">
        <f t="shared" si="2"/>
        <v>1100000</v>
      </c>
      <c r="L182" s="31">
        <f>Table2[[#This Row],[gross sales]]-Table2[[#This Row],[net sale]]</f>
        <v>0</v>
      </c>
      <c r="M182" s="36" t="str">
        <f>TEXT(B182,"mmm")</f>
        <v>Oct</v>
      </c>
    </row>
    <row r="183" spans="1:13">
      <c r="A183" s="19">
        <v>1182</v>
      </c>
      <c r="B183" s="18">
        <v>45774</v>
      </c>
      <c r="C183" s="19" t="s">
        <v>39</v>
      </c>
      <c r="D183" s="19" t="s">
        <v>30</v>
      </c>
      <c r="E183" s="19" t="s">
        <v>14</v>
      </c>
      <c r="F183" s="19" t="s">
        <v>24</v>
      </c>
      <c r="G183" s="19">
        <v>3</v>
      </c>
      <c r="H183" s="19">
        <v>180</v>
      </c>
      <c r="I183" s="24">
        <v>0.1</v>
      </c>
      <c r="J183" s="28">
        <f>Table2[[#This Row],[Quantity]]*Table2[[#This Row],[Unit_Price]]</f>
        <v>540</v>
      </c>
      <c r="K183" s="31">
        <f t="shared" si="2"/>
        <v>486</v>
      </c>
      <c r="L183" s="31">
        <f>Table2[[#This Row],[gross sales]]-Table2[[#This Row],[net sale]]</f>
        <v>54</v>
      </c>
      <c r="M183" s="37" t="str">
        <f>TEXT(B183,"mmm")</f>
        <v>Apr</v>
      </c>
    </row>
    <row r="184" spans="1:13">
      <c r="A184" s="16">
        <v>1183</v>
      </c>
      <c r="B184" s="15">
        <v>45885</v>
      </c>
      <c r="C184" s="16" t="s">
        <v>13</v>
      </c>
      <c r="D184" s="16" t="s">
        <v>10</v>
      </c>
      <c r="E184" s="16" t="s">
        <v>14</v>
      </c>
      <c r="F184" s="16" t="s">
        <v>23</v>
      </c>
      <c r="G184" s="16">
        <v>10</v>
      </c>
      <c r="H184" s="17">
        <v>1200</v>
      </c>
      <c r="I184" s="23">
        <v>0</v>
      </c>
      <c r="J184" s="28">
        <f>Table2[[#This Row],[Quantity]]*Table2[[#This Row],[Unit_Price]]</f>
        <v>12000</v>
      </c>
      <c r="K184" s="31">
        <f t="shared" si="2"/>
        <v>12000</v>
      </c>
      <c r="L184" s="31">
        <f>Table2[[#This Row],[gross sales]]-Table2[[#This Row],[net sale]]</f>
        <v>0</v>
      </c>
      <c r="M184" s="36" t="str">
        <f>TEXT(B184,"mmm")</f>
        <v>Aug</v>
      </c>
    </row>
    <row r="185" spans="1:13">
      <c r="A185" s="19">
        <v>1184</v>
      </c>
      <c r="B185" s="18">
        <v>45686</v>
      </c>
      <c r="C185" s="19" t="s">
        <v>21</v>
      </c>
      <c r="D185" s="19" t="s">
        <v>10</v>
      </c>
      <c r="E185" s="19" t="s">
        <v>22</v>
      </c>
      <c r="F185" s="19" t="s">
        <v>32</v>
      </c>
      <c r="G185" s="19">
        <v>12</v>
      </c>
      <c r="H185" s="20">
        <v>14000</v>
      </c>
      <c r="I185" s="24">
        <v>0.08</v>
      </c>
      <c r="J185" s="28">
        <f>Table2[[#This Row],[Quantity]]*Table2[[#This Row],[Unit_Price]]</f>
        <v>168000</v>
      </c>
      <c r="K185" s="31">
        <f t="shared" si="2"/>
        <v>154560</v>
      </c>
      <c r="L185" s="31">
        <f>Table2[[#This Row],[gross sales]]-Table2[[#This Row],[net sale]]</f>
        <v>13440</v>
      </c>
      <c r="M185" s="37" t="str">
        <f>TEXT(B185,"mmm")</f>
        <v>Jan</v>
      </c>
    </row>
    <row r="186" spans="1:13">
      <c r="A186" s="16">
        <v>1185</v>
      </c>
      <c r="B186" s="15">
        <v>45783</v>
      </c>
      <c r="C186" s="16" t="s">
        <v>25</v>
      </c>
      <c r="D186" s="16" t="s">
        <v>26</v>
      </c>
      <c r="E186" s="16" t="s">
        <v>17</v>
      </c>
      <c r="F186" s="16" t="s">
        <v>32</v>
      </c>
      <c r="G186" s="16">
        <v>14</v>
      </c>
      <c r="H186" s="17">
        <v>11000</v>
      </c>
      <c r="I186" s="23">
        <v>0.12</v>
      </c>
      <c r="J186" s="28">
        <f>Table2[[#This Row],[Quantity]]*Table2[[#This Row],[Unit_Price]]</f>
        <v>154000</v>
      </c>
      <c r="K186" s="31">
        <f t="shared" si="2"/>
        <v>135520</v>
      </c>
      <c r="L186" s="31">
        <f>Table2[[#This Row],[gross sales]]-Table2[[#This Row],[net sale]]</f>
        <v>18480</v>
      </c>
      <c r="M186" s="36" t="str">
        <f>TEXT(B186,"mmm")</f>
        <v>May</v>
      </c>
    </row>
    <row r="187" spans="1:13">
      <c r="A187" s="19">
        <v>1186</v>
      </c>
      <c r="B187" s="18">
        <v>45747</v>
      </c>
      <c r="C187" s="19" t="s">
        <v>9</v>
      </c>
      <c r="D187" s="19" t="s">
        <v>10</v>
      </c>
      <c r="E187" s="19" t="s">
        <v>17</v>
      </c>
      <c r="F187" s="19" t="s">
        <v>20</v>
      </c>
      <c r="G187" s="19">
        <v>20</v>
      </c>
      <c r="H187" s="20">
        <v>18000</v>
      </c>
      <c r="I187" s="24">
        <v>0.1</v>
      </c>
      <c r="J187" s="28">
        <f>Table2[[#This Row],[Quantity]]*Table2[[#This Row],[Unit_Price]]</f>
        <v>360000</v>
      </c>
      <c r="K187" s="31">
        <f t="shared" si="2"/>
        <v>324000</v>
      </c>
      <c r="L187" s="31">
        <f>Table2[[#This Row],[gross sales]]-Table2[[#This Row],[net sale]]</f>
        <v>36000</v>
      </c>
      <c r="M187" s="37" t="str">
        <f>TEXT(B187,"mmm")</f>
        <v>Mar</v>
      </c>
    </row>
    <row r="188" spans="1:13">
      <c r="A188" s="16">
        <v>1187</v>
      </c>
      <c r="B188" s="15">
        <v>45956</v>
      </c>
      <c r="C188" s="16" t="s">
        <v>13</v>
      </c>
      <c r="D188" s="16" t="s">
        <v>10</v>
      </c>
      <c r="E188" s="16" t="s">
        <v>11</v>
      </c>
      <c r="F188" s="16" t="s">
        <v>20</v>
      </c>
      <c r="G188" s="16">
        <v>8</v>
      </c>
      <c r="H188" s="17">
        <v>1200</v>
      </c>
      <c r="I188" s="23">
        <v>0.1</v>
      </c>
      <c r="J188" s="28">
        <f>Table2[[#This Row],[Quantity]]*Table2[[#This Row],[Unit_Price]]</f>
        <v>9600</v>
      </c>
      <c r="K188" s="31">
        <f t="shared" si="2"/>
        <v>8640</v>
      </c>
      <c r="L188" s="31">
        <f>Table2[[#This Row],[gross sales]]-Table2[[#This Row],[net sale]]</f>
        <v>960</v>
      </c>
      <c r="M188" s="36" t="str">
        <f>TEXT(B188,"mmm")</f>
        <v>Oct</v>
      </c>
    </row>
    <row r="189" spans="1:13">
      <c r="A189" s="19">
        <v>1188</v>
      </c>
      <c r="B189" s="18">
        <v>45788</v>
      </c>
      <c r="C189" s="19" t="s">
        <v>29</v>
      </c>
      <c r="D189" s="19" t="s">
        <v>30</v>
      </c>
      <c r="E189" s="19" t="s">
        <v>11</v>
      </c>
      <c r="F189" s="19" t="s">
        <v>32</v>
      </c>
      <c r="G189" s="19">
        <v>1</v>
      </c>
      <c r="H189" s="19">
        <v>250</v>
      </c>
      <c r="I189" s="24">
        <v>0.1</v>
      </c>
      <c r="J189" s="28">
        <f>Table2[[#This Row],[Quantity]]*Table2[[#This Row],[Unit_Price]]</f>
        <v>250</v>
      </c>
      <c r="K189" s="31">
        <f t="shared" si="2"/>
        <v>225</v>
      </c>
      <c r="L189" s="31">
        <f>Table2[[#This Row],[gross sales]]-Table2[[#This Row],[net sale]]</f>
        <v>25</v>
      </c>
      <c r="M189" s="37" t="str">
        <f>TEXT(B189,"mmm")</f>
        <v>May</v>
      </c>
    </row>
    <row r="190" spans="1:13">
      <c r="A190" s="16">
        <v>1189</v>
      </c>
      <c r="B190" s="15">
        <v>45695</v>
      </c>
      <c r="C190" s="16" t="s">
        <v>34</v>
      </c>
      <c r="D190" s="16" t="s">
        <v>26</v>
      </c>
      <c r="E190" s="16" t="s">
        <v>11</v>
      </c>
      <c r="F190" s="16" t="s">
        <v>15</v>
      </c>
      <c r="G190" s="16">
        <v>12</v>
      </c>
      <c r="H190" s="17">
        <v>15000</v>
      </c>
      <c r="I190" s="23">
        <v>0.12</v>
      </c>
      <c r="J190" s="28">
        <f>Table2[[#This Row],[Quantity]]*Table2[[#This Row],[Unit_Price]]</f>
        <v>180000</v>
      </c>
      <c r="K190" s="31">
        <f t="shared" si="2"/>
        <v>158400</v>
      </c>
      <c r="L190" s="31">
        <f>Table2[[#This Row],[gross sales]]-Table2[[#This Row],[net sale]]</f>
        <v>21600</v>
      </c>
      <c r="M190" s="36" t="str">
        <f>TEXT(B190,"mmm")</f>
        <v>Feb</v>
      </c>
    </row>
    <row r="191" spans="1:13">
      <c r="A191" s="19">
        <v>1190</v>
      </c>
      <c r="B191" s="18">
        <v>46011</v>
      </c>
      <c r="C191" s="19" t="s">
        <v>21</v>
      </c>
      <c r="D191" s="19" t="s">
        <v>10</v>
      </c>
      <c r="E191" s="19" t="s">
        <v>17</v>
      </c>
      <c r="F191" s="19" t="s">
        <v>15</v>
      </c>
      <c r="G191" s="19">
        <v>15</v>
      </c>
      <c r="H191" s="20">
        <v>14000</v>
      </c>
      <c r="I191" s="24">
        <v>0.08</v>
      </c>
      <c r="J191" s="28">
        <f>Table2[[#This Row],[Quantity]]*Table2[[#This Row],[Unit_Price]]</f>
        <v>210000</v>
      </c>
      <c r="K191" s="31">
        <f t="shared" si="2"/>
        <v>193200</v>
      </c>
      <c r="L191" s="31">
        <f>Table2[[#This Row],[gross sales]]-Table2[[#This Row],[net sale]]</f>
        <v>16800</v>
      </c>
      <c r="M191" s="37" t="str">
        <f>TEXT(B191,"mmm")</f>
        <v>Dec</v>
      </c>
    </row>
    <row r="192" spans="1:13">
      <c r="A192" s="16">
        <v>1191</v>
      </c>
      <c r="B192" s="15">
        <v>45905</v>
      </c>
      <c r="C192" s="16" t="s">
        <v>9</v>
      </c>
      <c r="D192" s="16" t="s">
        <v>10</v>
      </c>
      <c r="E192" s="16" t="s">
        <v>11</v>
      </c>
      <c r="F192" s="16" t="s">
        <v>27</v>
      </c>
      <c r="G192" s="16">
        <v>8</v>
      </c>
      <c r="H192" s="17">
        <v>18000</v>
      </c>
      <c r="I192" s="23">
        <v>0.1</v>
      </c>
      <c r="J192" s="28">
        <f>Table2[[#This Row],[Quantity]]*Table2[[#This Row],[Unit_Price]]</f>
        <v>144000</v>
      </c>
      <c r="K192" s="31">
        <f t="shared" si="2"/>
        <v>129600</v>
      </c>
      <c r="L192" s="31">
        <f>Table2[[#This Row],[gross sales]]-Table2[[#This Row],[net sale]]</f>
        <v>14400</v>
      </c>
      <c r="M192" s="36" t="str">
        <f>TEXT(B192,"mmm")</f>
        <v>Sep</v>
      </c>
    </row>
    <row r="193" spans="1:13">
      <c r="A193" s="19">
        <v>1192</v>
      </c>
      <c r="B193" s="18">
        <v>46016</v>
      </c>
      <c r="C193" s="19" t="s">
        <v>21</v>
      </c>
      <c r="D193" s="19" t="s">
        <v>10</v>
      </c>
      <c r="E193" s="19" t="s">
        <v>22</v>
      </c>
      <c r="F193" s="19" t="s">
        <v>27</v>
      </c>
      <c r="G193" s="19">
        <v>1</v>
      </c>
      <c r="H193" s="20">
        <v>14000</v>
      </c>
      <c r="I193" s="24">
        <v>0.15</v>
      </c>
      <c r="J193" s="28">
        <f>Table2[[#This Row],[Quantity]]*Table2[[#This Row],[Unit_Price]]</f>
        <v>14000</v>
      </c>
      <c r="K193" s="31">
        <f t="shared" si="2"/>
        <v>11900</v>
      </c>
      <c r="L193" s="31">
        <f>Table2[[#This Row],[gross sales]]-Table2[[#This Row],[net sale]]</f>
        <v>2100</v>
      </c>
      <c r="M193" s="37" t="str">
        <f>TEXT(B193,"mmm")</f>
        <v>Dec</v>
      </c>
    </row>
    <row r="194" spans="1:13">
      <c r="A194" s="16">
        <v>1193</v>
      </c>
      <c r="B194" s="15">
        <v>45662</v>
      </c>
      <c r="C194" s="16" t="s">
        <v>28</v>
      </c>
      <c r="D194" s="16" t="s">
        <v>26</v>
      </c>
      <c r="E194" s="16" t="s">
        <v>22</v>
      </c>
      <c r="F194" s="16" t="s">
        <v>27</v>
      </c>
      <c r="G194" s="16">
        <v>2</v>
      </c>
      <c r="H194" s="17">
        <v>9000</v>
      </c>
      <c r="I194" s="23">
        <v>0.12</v>
      </c>
      <c r="J194" s="28">
        <f>Table2[[#This Row],[Quantity]]*Table2[[#This Row],[Unit_Price]]</f>
        <v>18000</v>
      </c>
      <c r="K194" s="31">
        <f t="shared" ref="K194:K257" si="3">J194*(1-I194)</f>
        <v>15840</v>
      </c>
      <c r="L194" s="31">
        <f>Table2[[#This Row],[gross sales]]-Table2[[#This Row],[net sale]]</f>
        <v>2160</v>
      </c>
      <c r="M194" s="36" t="str">
        <f>TEXT(B194,"mmm")</f>
        <v>Jan</v>
      </c>
    </row>
    <row r="195" spans="1:13">
      <c r="A195" s="19">
        <v>1194</v>
      </c>
      <c r="B195" s="18">
        <v>45775</v>
      </c>
      <c r="C195" s="19" t="s">
        <v>28</v>
      </c>
      <c r="D195" s="19" t="s">
        <v>26</v>
      </c>
      <c r="E195" s="19" t="s">
        <v>17</v>
      </c>
      <c r="F195" s="19" t="s">
        <v>27</v>
      </c>
      <c r="G195" s="19">
        <v>12</v>
      </c>
      <c r="H195" s="20">
        <v>9000</v>
      </c>
      <c r="I195" s="24">
        <v>0.05</v>
      </c>
      <c r="J195" s="28">
        <f>Table2[[#This Row],[Quantity]]*Table2[[#This Row],[Unit_Price]]</f>
        <v>108000</v>
      </c>
      <c r="K195" s="31">
        <f t="shared" si="3"/>
        <v>102600</v>
      </c>
      <c r="L195" s="31">
        <f>Table2[[#This Row],[gross sales]]-Table2[[#This Row],[net sale]]</f>
        <v>5400</v>
      </c>
      <c r="M195" s="37" t="str">
        <f>TEXT(B195,"mmm")</f>
        <v>Apr</v>
      </c>
    </row>
    <row r="196" spans="1:13">
      <c r="A196" s="16">
        <v>1195</v>
      </c>
      <c r="B196" s="15">
        <v>46005</v>
      </c>
      <c r="C196" s="16" t="s">
        <v>35</v>
      </c>
      <c r="D196" s="16" t="s">
        <v>36</v>
      </c>
      <c r="E196" s="16" t="s">
        <v>14</v>
      </c>
      <c r="F196" s="16" t="s">
        <v>18</v>
      </c>
      <c r="G196" s="16">
        <v>5</v>
      </c>
      <c r="H196" s="17">
        <v>3500</v>
      </c>
      <c r="I196" s="23">
        <v>0.15</v>
      </c>
      <c r="J196" s="28">
        <f>Table2[[#This Row],[Quantity]]*Table2[[#This Row],[Unit_Price]]</f>
        <v>17500</v>
      </c>
      <c r="K196" s="31">
        <f t="shared" si="3"/>
        <v>14875</v>
      </c>
      <c r="L196" s="31">
        <f>Table2[[#This Row],[gross sales]]-Table2[[#This Row],[net sale]]</f>
        <v>2625</v>
      </c>
      <c r="M196" s="36" t="str">
        <f>TEXT(B196,"mmm")</f>
        <v>Dec</v>
      </c>
    </row>
    <row r="197" spans="1:13">
      <c r="A197" s="19">
        <v>1196</v>
      </c>
      <c r="B197" s="18">
        <v>45816</v>
      </c>
      <c r="C197" s="19" t="s">
        <v>35</v>
      </c>
      <c r="D197" s="19" t="s">
        <v>36</v>
      </c>
      <c r="E197" s="19" t="s">
        <v>11</v>
      </c>
      <c r="F197" s="19" t="s">
        <v>32</v>
      </c>
      <c r="G197" s="19">
        <v>15</v>
      </c>
      <c r="H197" s="20">
        <v>3500</v>
      </c>
      <c r="I197" s="24">
        <v>0</v>
      </c>
      <c r="J197" s="28">
        <f>Table2[[#This Row],[Quantity]]*Table2[[#This Row],[Unit_Price]]</f>
        <v>52500</v>
      </c>
      <c r="K197" s="31">
        <f t="shared" si="3"/>
        <v>52500</v>
      </c>
      <c r="L197" s="31">
        <f>Table2[[#This Row],[gross sales]]-Table2[[#This Row],[net sale]]</f>
        <v>0</v>
      </c>
      <c r="M197" s="37" t="str">
        <f>TEXT(B197,"mmm")</f>
        <v>Jun</v>
      </c>
    </row>
    <row r="198" spans="1:13">
      <c r="A198" s="16">
        <v>1197</v>
      </c>
      <c r="B198" s="15">
        <v>45704</v>
      </c>
      <c r="C198" s="16" t="s">
        <v>37</v>
      </c>
      <c r="D198" s="16" t="s">
        <v>36</v>
      </c>
      <c r="E198" s="16" t="s">
        <v>22</v>
      </c>
      <c r="F198" s="16" t="s">
        <v>32</v>
      </c>
      <c r="G198" s="16">
        <v>10</v>
      </c>
      <c r="H198" s="17">
        <v>1800</v>
      </c>
      <c r="I198" s="23">
        <v>0.08</v>
      </c>
      <c r="J198" s="28">
        <f>Table2[[#This Row],[Quantity]]*Table2[[#This Row],[Unit_Price]]</f>
        <v>18000</v>
      </c>
      <c r="K198" s="31">
        <f t="shared" si="3"/>
        <v>16560</v>
      </c>
      <c r="L198" s="31">
        <f>Table2[[#This Row],[gross sales]]-Table2[[#This Row],[net sale]]</f>
        <v>1440</v>
      </c>
      <c r="M198" s="36" t="str">
        <f>TEXT(B198,"mmm")</f>
        <v>Feb</v>
      </c>
    </row>
    <row r="199" spans="1:13">
      <c r="A199" s="19">
        <v>1198</v>
      </c>
      <c r="B199" s="18">
        <v>45760</v>
      </c>
      <c r="C199" s="19" t="s">
        <v>13</v>
      </c>
      <c r="D199" s="19" t="s">
        <v>10</v>
      </c>
      <c r="E199" s="19" t="s">
        <v>11</v>
      </c>
      <c r="F199" s="19" t="s">
        <v>32</v>
      </c>
      <c r="G199" s="19">
        <v>18</v>
      </c>
      <c r="H199" s="20">
        <v>1200</v>
      </c>
      <c r="I199" s="24">
        <v>0.08</v>
      </c>
      <c r="J199" s="28">
        <f>Table2[[#This Row],[Quantity]]*Table2[[#This Row],[Unit_Price]]</f>
        <v>21600</v>
      </c>
      <c r="K199" s="31">
        <f t="shared" si="3"/>
        <v>19872</v>
      </c>
      <c r="L199" s="31">
        <f>Table2[[#This Row],[gross sales]]-Table2[[#This Row],[net sale]]</f>
        <v>1728</v>
      </c>
      <c r="M199" s="37" t="str">
        <f>TEXT(B199,"mmm")</f>
        <v>Apr</v>
      </c>
    </row>
    <row r="200" spans="1:13">
      <c r="A200" s="16">
        <v>1199</v>
      </c>
      <c r="B200" s="15">
        <v>45789</v>
      </c>
      <c r="C200" s="16" t="s">
        <v>37</v>
      </c>
      <c r="D200" s="16" t="s">
        <v>36</v>
      </c>
      <c r="E200" s="16" t="s">
        <v>11</v>
      </c>
      <c r="F200" s="16" t="s">
        <v>24</v>
      </c>
      <c r="G200" s="16">
        <v>16</v>
      </c>
      <c r="H200" s="17">
        <v>1800</v>
      </c>
      <c r="I200" s="23">
        <v>0.08</v>
      </c>
      <c r="J200" s="28">
        <f>Table2[[#This Row],[Quantity]]*Table2[[#This Row],[Unit_Price]]</f>
        <v>28800</v>
      </c>
      <c r="K200" s="31">
        <f t="shared" si="3"/>
        <v>26496</v>
      </c>
      <c r="L200" s="31">
        <f>Table2[[#This Row],[gross sales]]-Table2[[#This Row],[net sale]]</f>
        <v>2304</v>
      </c>
      <c r="M200" s="36" t="str">
        <f>TEXT(B200,"mmm")</f>
        <v>May</v>
      </c>
    </row>
    <row r="201" spans="1:13">
      <c r="A201" s="19">
        <v>1200</v>
      </c>
      <c r="B201" s="18">
        <v>45897</v>
      </c>
      <c r="C201" s="19" t="s">
        <v>9</v>
      </c>
      <c r="D201" s="19" t="s">
        <v>10</v>
      </c>
      <c r="E201" s="19" t="s">
        <v>22</v>
      </c>
      <c r="F201" s="19" t="s">
        <v>23</v>
      </c>
      <c r="G201" s="19">
        <v>5</v>
      </c>
      <c r="H201" s="20">
        <v>18000</v>
      </c>
      <c r="I201" s="24">
        <v>0.05</v>
      </c>
      <c r="J201" s="28">
        <f>Table2[[#This Row],[Quantity]]*Table2[[#This Row],[Unit_Price]]</f>
        <v>90000</v>
      </c>
      <c r="K201" s="31">
        <f t="shared" si="3"/>
        <v>85500</v>
      </c>
      <c r="L201" s="31">
        <f>Table2[[#This Row],[gross sales]]-Table2[[#This Row],[net sale]]</f>
        <v>4500</v>
      </c>
      <c r="M201" s="37" t="str">
        <f>TEXT(B201,"mmm")</f>
        <v>Aug</v>
      </c>
    </row>
    <row r="202" spans="1:13">
      <c r="A202" s="16">
        <v>1201</v>
      </c>
      <c r="B202" s="15">
        <v>45704</v>
      </c>
      <c r="C202" s="16" t="s">
        <v>35</v>
      </c>
      <c r="D202" s="16" t="s">
        <v>36</v>
      </c>
      <c r="E202" s="16" t="s">
        <v>11</v>
      </c>
      <c r="F202" s="16" t="s">
        <v>24</v>
      </c>
      <c r="G202" s="16">
        <v>13</v>
      </c>
      <c r="H202" s="17">
        <v>3500</v>
      </c>
      <c r="I202" s="23">
        <v>0</v>
      </c>
      <c r="J202" s="28">
        <f>Table2[[#This Row],[Quantity]]*Table2[[#This Row],[Unit_Price]]</f>
        <v>45500</v>
      </c>
      <c r="K202" s="31">
        <f t="shared" si="3"/>
        <v>45500</v>
      </c>
      <c r="L202" s="31">
        <f>Table2[[#This Row],[gross sales]]-Table2[[#This Row],[net sale]]</f>
        <v>0</v>
      </c>
      <c r="M202" s="36" t="str">
        <f>TEXT(B202,"mmm")</f>
        <v>Feb</v>
      </c>
    </row>
    <row r="203" spans="1:13">
      <c r="A203" s="19">
        <v>1202</v>
      </c>
      <c r="B203" s="18">
        <v>45890</v>
      </c>
      <c r="C203" s="19" t="s">
        <v>33</v>
      </c>
      <c r="D203" s="19" t="s">
        <v>10</v>
      </c>
      <c r="E203" s="19" t="s">
        <v>22</v>
      </c>
      <c r="F203" s="19" t="s">
        <v>23</v>
      </c>
      <c r="G203" s="19">
        <v>9</v>
      </c>
      <c r="H203" s="20">
        <v>2500</v>
      </c>
      <c r="I203" s="24">
        <v>0.12</v>
      </c>
      <c r="J203" s="28">
        <f>Table2[[#This Row],[Quantity]]*Table2[[#This Row],[Unit_Price]]</f>
        <v>22500</v>
      </c>
      <c r="K203" s="31">
        <f t="shared" si="3"/>
        <v>19800</v>
      </c>
      <c r="L203" s="31">
        <f>Table2[[#This Row],[gross sales]]-Table2[[#This Row],[net sale]]</f>
        <v>2700</v>
      </c>
      <c r="M203" s="37" t="str">
        <f>TEXT(B203,"mmm")</f>
        <v>Aug</v>
      </c>
    </row>
    <row r="204" spans="1:13">
      <c r="A204" s="16">
        <v>1203</v>
      </c>
      <c r="B204" s="15">
        <v>45713</v>
      </c>
      <c r="C204" s="16" t="s">
        <v>29</v>
      </c>
      <c r="D204" s="16" t="s">
        <v>30</v>
      </c>
      <c r="E204" s="16" t="s">
        <v>14</v>
      </c>
      <c r="F204" s="16" t="s">
        <v>23</v>
      </c>
      <c r="G204" s="16">
        <v>8</v>
      </c>
      <c r="H204" s="16">
        <v>250</v>
      </c>
      <c r="I204" s="23">
        <v>0.1</v>
      </c>
      <c r="J204" s="28">
        <f>Table2[[#This Row],[Quantity]]*Table2[[#This Row],[Unit_Price]]</f>
        <v>2000</v>
      </c>
      <c r="K204" s="31">
        <f t="shared" si="3"/>
        <v>1800</v>
      </c>
      <c r="L204" s="31">
        <f>Table2[[#This Row],[gross sales]]-Table2[[#This Row],[net sale]]</f>
        <v>200</v>
      </c>
      <c r="M204" s="36" t="str">
        <f>TEXT(B204,"mmm")</f>
        <v>Feb</v>
      </c>
    </row>
    <row r="205" spans="1:13">
      <c r="A205" s="19">
        <v>1204</v>
      </c>
      <c r="B205" s="18">
        <v>45970</v>
      </c>
      <c r="C205" s="19" t="s">
        <v>19</v>
      </c>
      <c r="D205" s="19" t="s">
        <v>10</v>
      </c>
      <c r="E205" s="19" t="s">
        <v>22</v>
      </c>
      <c r="F205" s="19" t="s">
        <v>27</v>
      </c>
      <c r="G205" s="19">
        <v>3</v>
      </c>
      <c r="H205" s="19">
        <v>800</v>
      </c>
      <c r="I205" s="24">
        <v>0.15</v>
      </c>
      <c r="J205" s="28">
        <f>Table2[[#This Row],[Quantity]]*Table2[[#This Row],[Unit_Price]]</f>
        <v>2400</v>
      </c>
      <c r="K205" s="31">
        <f t="shared" si="3"/>
        <v>2040</v>
      </c>
      <c r="L205" s="31">
        <f>Table2[[#This Row],[gross sales]]-Table2[[#This Row],[net sale]]</f>
        <v>360</v>
      </c>
      <c r="M205" s="37" t="str">
        <f>TEXT(B205,"mmm")</f>
        <v>Nov</v>
      </c>
    </row>
    <row r="206" spans="1:13">
      <c r="A206" s="16">
        <v>1205</v>
      </c>
      <c r="B206" s="15">
        <v>45990</v>
      </c>
      <c r="C206" s="16" t="s">
        <v>31</v>
      </c>
      <c r="D206" s="16" t="s">
        <v>26</v>
      </c>
      <c r="E206" s="16" t="s">
        <v>14</v>
      </c>
      <c r="F206" s="16" t="s">
        <v>18</v>
      </c>
      <c r="G206" s="16">
        <v>4</v>
      </c>
      <c r="H206" s="17">
        <v>8500</v>
      </c>
      <c r="I206" s="23">
        <v>0.05</v>
      </c>
      <c r="J206" s="28">
        <f>Table2[[#This Row],[Quantity]]*Table2[[#This Row],[Unit_Price]]</f>
        <v>34000</v>
      </c>
      <c r="K206" s="31">
        <f t="shared" si="3"/>
        <v>32300</v>
      </c>
      <c r="L206" s="31">
        <f>Table2[[#This Row],[gross sales]]-Table2[[#This Row],[net sale]]</f>
        <v>1700</v>
      </c>
      <c r="M206" s="36" t="str">
        <f>TEXT(B206,"mmm")</f>
        <v>Nov</v>
      </c>
    </row>
    <row r="207" spans="1:13">
      <c r="A207" s="19">
        <v>1206</v>
      </c>
      <c r="B207" s="18">
        <v>45813</v>
      </c>
      <c r="C207" s="19" t="s">
        <v>34</v>
      </c>
      <c r="D207" s="19" t="s">
        <v>26</v>
      </c>
      <c r="E207" s="19" t="s">
        <v>17</v>
      </c>
      <c r="F207" s="19" t="s">
        <v>32</v>
      </c>
      <c r="G207" s="19">
        <v>4</v>
      </c>
      <c r="H207" s="20">
        <v>15000</v>
      </c>
      <c r="I207" s="24">
        <v>0</v>
      </c>
      <c r="J207" s="28">
        <f>Table2[[#This Row],[Quantity]]*Table2[[#This Row],[Unit_Price]]</f>
        <v>60000</v>
      </c>
      <c r="K207" s="31">
        <f t="shared" si="3"/>
        <v>60000</v>
      </c>
      <c r="L207" s="31">
        <f>Table2[[#This Row],[gross sales]]-Table2[[#This Row],[net sale]]</f>
        <v>0</v>
      </c>
      <c r="M207" s="37" t="str">
        <f>TEXT(B207,"mmm")</f>
        <v>Jun</v>
      </c>
    </row>
    <row r="208" spans="1:13">
      <c r="A208" s="16">
        <v>1207</v>
      </c>
      <c r="B208" s="15">
        <v>45856</v>
      </c>
      <c r="C208" s="16" t="s">
        <v>34</v>
      </c>
      <c r="D208" s="16" t="s">
        <v>26</v>
      </c>
      <c r="E208" s="16" t="s">
        <v>22</v>
      </c>
      <c r="F208" s="16" t="s">
        <v>32</v>
      </c>
      <c r="G208" s="16">
        <v>12</v>
      </c>
      <c r="H208" s="17">
        <v>15000</v>
      </c>
      <c r="I208" s="23">
        <v>0.15</v>
      </c>
      <c r="J208" s="28">
        <f>Table2[[#This Row],[Quantity]]*Table2[[#This Row],[Unit_Price]]</f>
        <v>180000</v>
      </c>
      <c r="K208" s="31">
        <f t="shared" si="3"/>
        <v>153000</v>
      </c>
      <c r="L208" s="31">
        <f>Table2[[#This Row],[gross sales]]-Table2[[#This Row],[net sale]]</f>
        <v>27000</v>
      </c>
      <c r="M208" s="36" t="str">
        <f>TEXT(B208,"mmm")</f>
        <v>Jul</v>
      </c>
    </row>
    <row r="209" spans="1:13">
      <c r="A209" s="19">
        <v>1208</v>
      </c>
      <c r="B209" s="18">
        <v>45870</v>
      </c>
      <c r="C209" s="19" t="s">
        <v>29</v>
      </c>
      <c r="D209" s="19" t="s">
        <v>30</v>
      </c>
      <c r="E209" s="19" t="s">
        <v>22</v>
      </c>
      <c r="F209" s="19" t="s">
        <v>27</v>
      </c>
      <c r="G209" s="19">
        <v>4</v>
      </c>
      <c r="H209" s="19">
        <v>250</v>
      </c>
      <c r="I209" s="24">
        <v>0.1</v>
      </c>
      <c r="J209" s="28">
        <f>Table2[[#This Row],[Quantity]]*Table2[[#This Row],[Unit_Price]]</f>
        <v>1000</v>
      </c>
      <c r="K209" s="31">
        <f t="shared" si="3"/>
        <v>900</v>
      </c>
      <c r="L209" s="31">
        <f>Table2[[#This Row],[gross sales]]-Table2[[#This Row],[net sale]]</f>
        <v>100</v>
      </c>
      <c r="M209" s="37" t="str">
        <f>TEXT(B209,"mmm")</f>
        <v>Aug</v>
      </c>
    </row>
    <row r="210" spans="1:13">
      <c r="A210" s="16">
        <v>1209</v>
      </c>
      <c r="B210" s="15">
        <v>45674</v>
      </c>
      <c r="C210" s="16" t="s">
        <v>39</v>
      </c>
      <c r="D210" s="16" t="s">
        <v>30</v>
      </c>
      <c r="E210" s="16" t="s">
        <v>22</v>
      </c>
      <c r="F210" s="16" t="s">
        <v>20</v>
      </c>
      <c r="G210" s="16">
        <v>12</v>
      </c>
      <c r="H210" s="16">
        <v>180</v>
      </c>
      <c r="I210" s="23">
        <v>0.05</v>
      </c>
      <c r="J210" s="28">
        <f>Table2[[#This Row],[Quantity]]*Table2[[#This Row],[Unit_Price]]</f>
        <v>2160</v>
      </c>
      <c r="K210" s="31">
        <f t="shared" si="3"/>
        <v>2052</v>
      </c>
      <c r="L210" s="31">
        <f>Table2[[#This Row],[gross sales]]-Table2[[#This Row],[net sale]]</f>
        <v>108</v>
      </c>
      <c r="M210" s="36" t="str">
        <f>TEXT(B210,"mmm")</f>
        <v>Jan</v>
      </c>
    </row>
    <row r="211" spans="1:13">
      <c r="A211" s="19">
        <v>1210</v>
      </c>
      <c r="B211" s="18">
        <v>45778</v>
      </c>
      <c r="C211" s="19" t="s">
        <v>38</v>
      </c>
      <c r="D211" s="19" t="s">
        <v>10</v>
      </c>
      <c r="E211" s="19" t="s">
        <v>11</v>
      </c>
      <c r="F211" s="19" t="s">
        <v>23</v>
      </c>
      <c r="G211" s="19">
        <v>12</v>
      </c>
      <c r="H211" s="20">
        <v>42000</v>
      </c>
      <c r="I211" s="24">
        <v>0</v>
      </c>
      <c r="J211" s="28">
        <f>Table2[[#This Row],[Quantity]]*Table2[[#This Row],[Unit_Price]]</f>
        <v>504000</v>
      </c>
      <c r="K211" s="31">
        <f t="shared" si="3"/>
        <v>504000</v>
      </c>
      <c r="L211" s="31">
        <f>Table2[[#This Row],[gross sales]]-Table2[[#This Row],[net sale]]</f>
        <v>0</v>
      </c>
      <c r="M211" s="37" t="str">
        <f>TEXT(B211,"mmm")</f>
        <v>May</v>
      </c>
    </row>
    <row r="212" spans="1:13">
      <c r="A212" s="16">
        <v>1211</v>
      </c>
      <c r="B212" s="15">
        <v>45689</v>
      </c>
      <c r="C212" s="16" t="s">
        <v>31</v>
      </c>
      <c r="D212" s="16" t="s">
        <v>26</v>
      </c>
      <c r="E212" s="16" t="s">
        <v>14</v>
      </c>
      <c r="F212" s="16" t="s">
        <v>20</v>
      </c>
      <c r="G212" s="16">
        <v>9</v>
      </c>
      <c r="H212" s="17">
        <v>8500</v>
      </c>
      <c r="I212" s="23">
        <v>0.05</v>
      </c>
      <c r="J212" s="28">
        <f>Table2[[#This Row],[Quantity]]*Table2[[#This Row],[Unit_Price]]</f>
        <v>76500</v>
      </c>
      <c r="K212" s="31">
        <f t="shared" si="3"/>
        <v>72675</v>
      </c>
      <c r="L212" s="31">
        <f>Table2[[#This Row],[gross sales]]-Table2[[#This Row],[net sale]]</f>
        <v>3825</v>
      </c>
      <c r="M212" s="36" t="str">
        <f>TEXT(B212,"mmm")</f>
        <v>Feb</v>
      </c>
    </row>
    <row r="213" spans="1:13">
      <c r="A213" s="19">
        <v>1212</v>
      </c>
      <c r="B213" s="18">
        <v>45704</v>
      </c>
      <c r="C213" s="19" t="s">
        <v>29</v>
      </c>
      <c r="D213" s="19" t="s">
        <v>30</v>
      </c>
      <c r="E213" s="19" t="s">
        <v>14</v>
      </c>
      <c r="F213" s="19" t="s">
        <v>18</v>
      </c>
      <c r="G213" s="19">
        <v>7</v>
      </c>
      <c r="H213" s="19">
        <v>250</v>
      </c>
      <c r="I213" s="24">
        <v>0.15</v>
      </c>
      <c r="J213" s="28">
        <f>Table2[[#This Row],[Quantity]]*Table2[[#This Row],[Unit_Price]]</f>
        <v>1750</v>
      </c>
      <c r="K213" s="31">
        <f t="shared" si="3"/>
        <v>1487.5</v>
      </c>
      <c r="L213" s="31">
        <f>Table2[[#This Row],[gross sales]]-Table2[[#This Row],[net sale]]</f>
        <v>262.5</v>
      </c>
      <c r="M213" s="37" t="str">
        <f>TEXT(B213,"mmm")</f>
        <v>Feb</v>
      </c>
    </row>
    <row r="214" spans="1:13">
      <c r="A214" s="16">
        <v>1213</v>
      </c>
      <c r="B214" s="15">
        <v>45828</v>
      </c>
      <c r="C214" s="16" t="s">
        <v>19</v>
      </c>
      <c r="D214" s="16" t="s">
        <v>10</v>
      </c>
      <c r="E214" s="16" t="s">
        <v>17</v>
      </c>
      <c r="F214" s="16" t="s">
        <v>24</v>
      </c>
      <c r="G214" s="16">
        <v>5</v>
      </c>
      <c r="H214" s="16">
        <v>800</v>
      </c>
      <c r="I214" s="23">
        <v>0.12</v>
      </c>
      <c r="J214" s="28">
        <f>Table2[[#This Row],[Quantity]]*Table2[[#This Row],[Unit_Price]]</f>
        <v>4000</v>
      </c>
      <c r="K214" s="31">
        <f t="shared" si="3"/>
        <v>3520</v>
      </c>
      <c r="L214" s="31">
        <f>Table2[[#This Row],[gross sales]]-Table2[[#This Row],[net sale]]</f>
        <v>480</v>
      </c>
      <c r="M214" s="36" t="str">
        <f>TEXT(B214,"mmm")</f>
        <v>Jun</v>
      </c>
    </row>
    <row r="215" spans="1:13">
      <c r="A215" s="19">
        <v>1214</v>
      </c>
      <c r="B215" s="18">
        <v>45941</v>
      </c>
      <c r="C215" s="19" t="s">
        <v>19</v>
      </c>
      <c r="D215" s="19" t="s">
        <v>10</v>
      </c>
      <c r="E215" s="19" t="s">
        <v>17</v>
      </c>
      <c r="F215" s="19" t="s">
        <v>23</v>
      </c>
      <c r="G215" s="19">
        <v>19</v>
      </c>
      <c r="H215" s="19">
        <v>800</v>
      </c>
      <c r="I215" s="24">
        <v>0.05</v>
      </c>
      <c r="J215" s="28">
        <f>Table2[[#This Row],[Quantity]]*Table2[[#This Row],[Unit_Price]]</f>
        <v>15200</v>
      </c>
      <c r="K215" s="31">
        <f t="shared" si="3"/>
        <v>14440</v>
      </c>
      <c r="L215" s="31">
        <f>Table2[[#This Row],[gross sales]]-Table2[[#This Row],[net sale]]</f>
        <v>760</v>
      </c>
      <c r="M215" s="37" t="str">
        <f>TEXT(B215,"mmm")</f>
        <v>Oct</v>
      </c>
    </row>
    <row r="216" spans="1:13">
      <c r="A216" s="16">
        <v>1215</v>
      </c>
      <c r="B216" s="15">
        <v>45733</v>
      </c>
      <c r="C216" s="16" t="s">
        <v>35</v>
      </c>
      <c r="D216" s="16" t="s">
        <v>36</v>
      </c>
      <c r="E216" s="16" t="s">
        <v>11</v>
      </c>
      <c r="F216" s="16" t="s">
        <v>32</v>
      </c>
      <c r="G216" s="16">
        <v>20</v>
      </c>
      <c r="H216" s="17">
        <v>3500</v>
      </c>
      <c r="I216" s="23">
        <v>0</v>
      </c>
      <c r="J216" s="28">
        <f>Table2[[#This Row],[Quantity]]*Table2[[#This Row],[Unit_Price]]</f>
        <v>70000</v>
      </c>
      <c r="K216" s="31">
        <f t="shared" si="3"/>
        <v>70000</v>
      </c>
      <c r="L216" s="31">
        <f>Table2[[#This Row],[gross sales]]-Table2[[#This Row],[net sale]]</f>
        <v>0</v>
      </c>
      <c r="M216" s="36" t="str">
        <f>TEXT(B216,"mmm")</f>
        <v>Mar</v>
      </c>
    </row>
    <row r="217" spans="1:13">
      <c r="A217" s="19">
        <v>1216</v>
      </c>
      <c r="B217" s="18">
        <v>45724</v>
      </c>
      <c r="C217" s="19" t="s">
        <v>25</v>
      </c>
      <c r="D217" s="19" t="s">
        <v>26</v>
      </c>
      <c r="E217" s="19" t="s">
        <v>14</v>
      </c>
      <c r="F217" s="19" t="s">
        <v>18</v>
      </c>
      <c r="G217" s="19">
        <v>9</v>
      </c>
      <c r="H217" s="20">
        <v>11000</v>
      </c>
      <c r="I217" s="24">
        <v>0.05</v>
      </c>
      <c r="J217" s="28">
        <f>Table2[[#This Row],[Quantity]]*Table2[[#This Row],[Unit_Price]]</f>
        <v>99000</v>
      </c>
      <c r="K217" s="31">
        <f t="shared" si="3"/>
        <v>94050</v>
      </c>
      <c r="L217" s="31">
        <f>Table2[[#This Row],[gross sales]]-Table2[[#This Row],[net sale]]</f>
        <v>4950</v>
      </c>
      <c r="M217" s="37" t="str">
        <f>TEXT(B217,"mmm")</f>
        <v>Mar</v>
      </c>
    </row>
    <row r="218" spans="1:13">
      <c r="A218" s="16">
        <v>1217</v>
      </c>
      <c r="B218" s="15">
        <v>45725</v>
      </c>
      <c r="C218" s="16" t="s">
        <v>16</v>
      </c>
      <c r="D218" s="16" t="s">
        <v>10</v>
      </c>
      <c r="E218" s="16" t="s">
        <v>11</v>
      </c>
      <c r="F218" s="16" t="s">
        <v>18</v>
      </c>
      <c r="G218" s="16">
        <v>12</v>
      </c>
      <c r="H218" s="17">
        <v>55000</v>
      </c>
      <c r="I218" s="23">
        <v>0.05</v>
      </c>
      <c r="J218" s="28">
        <f>Table2[[#This Row],[Quantity]]*Table2[[#This Row],[Unit_Price]]</f>
        <v>660000</v>
      </c>
      <c r="K218" s="31">
        <f t="shared" si="3"/>
        <v>627000</v>
      </c>
      <c r="L218" s="31">
        <f>Table2[[#This Row],[gross sales]]-Table2[[#This Row],[net sale]]</f>
        <v>33000</v>
      </c>
      <c r="M218" s="36" t="str">
        <f>TEXT(B218,"mmm")</f>
        <v>Mar</v>
      </c>
    </row>
    <row r="219" spans="1:13">
      <c r="A219" s="19">
        <v>1218</v>
      </c>
      <c r="B219" s="18">
        <v>45747</v>
      </c>
      <c r="C219" s="19" t="s">
        <v>21</v>
      </c>
      <c r="D219" s="19" t="s">
        <v>10</v>
      </c>
      <c r="E219" s="19" t="s">
        <v>22</v>
      </c>
      <c r="F219" s="19" t="s">
        <v>24</v>
      </c>
      <c r="G219" s="19">
        <v>2</v>
      </c>
      <c r="H219" s="20">
        <v>14000</v>
      </c>
      <c r="I219" s="24">
        <v>0.05</v>
      </c>
      <c r="J219" s="28">
        <f>Table2[[#This Row],[Quantity]]*Table2[[#This Row],[Unit_Price]]</f>
        <v>28000</v>
      </c>
      <c r="K219" s="31">
        <f t="shared" si="3"/>
        <v>26600</v>
      </c>
      <c r="L219" s="31">
        <f>Table2[[#This Row],[gross sales]]-Table2[[#This Row],[net sale]]</f>
        <v>1400</v>
      </c>
      <c r="M219" s="37" t="str">
        <f>TEXT(B219,"mmm")</f>
        <v>Mar</v>
      </c>
    </row>
    <row r="220" spans="1:13">
      <c r="A220" s="16">
        <v>1219</v>
      </c>
      <c r="B220" s="15">
        <v>45690</v>
      </c>
      <c r="C220" s="16" t="s">
        <v>34</v>
      </c>
      <c r="D220" s="16" t="s">
        <v>26</v>
      </c>
      <c r="E220" s="16" t="s">
        <v>14</v>
      </c>
      <c r="F220" s="16" t="s">
        <v>20</v>
      </c>
      <c r="G220" s="16">
        <v>15</v>
      </c>
      <c r="H220" s="17">
        <v>15000</v>
      </c>
      <c r="I220" s="23">
        <v>0.08</v>
      </c>
      <c r="J220" s="28">
        <f>Table2[[#This Row],[Quantity]]*Table2[[#This Row],[Unit_Price]]</f>
        <v>225000</v>
      </c>
      <c r="K220" s="31">
        <f t="shared" si="3"/>
        <v>207000</v>
      </c>
      <c r="L220" s="31">
        <f>Table2[[#This Row],[gross sales]]-Table2[[#This Row],[net sale]]</f>
        <v>18000</v>
      </c>
      <c r="M220" s="36" t="str">
        <f>TEXT(B220,"mmm")</f>
        <v>Feb</v>
      </c>
    </row>
    <row r="221" spans="1:13">
      <c r="A221" s="19">
        <v>1220</v>
      </c>
      <c r="B221" s="18">
        <v>45915</v>
      </c>
      <c r="C221" s="19" t="s">
        <v>19</v>
      </c>
      <c r="D221" s="19" t="s">
        <v>10</v>
      </c>
      <c r="E221" s="19" t="s">
        <v>11</v>
      </c>
      <c r="F221" s="19" t="s">
        <v>20</v>
      </c>
      <c r="G221" s="19">
        <v>20</v>
      </c>
      <c r="H221" s="19">
        <v>800</v>
      </c>
      <c r="I221" s="24">
        <v>0</v>
      </c>
      <c r="J221" s="28">
        <f>Table2[[#This Row],[Quantity]]*Table2[[#This Row],[Unit_Price]]</f>
        <v>16000</v>
      </c>
      <c r="K221" s="31">
        <f t="shared" si="3"/>
        <v>16000</v>
      </c>
      <c r="L221" s="31">
        <f>Table2[[#This Row],[gross sales]]-Table2[[#This Row],[net sale]]</f>
        <v>0</v>
      </c>
      <c r="M221" s="37" t="str">
        <f>TEXT(B221,"mmm")</f>
        <v>Sep</v>
      </c>
    </row>
    <row r="222" spans="1:13">
      <c r="A222" s="16">
        <v>1221</v>
      </c>
      <c r="B222" s="15">
        <v>45987</v>
      </c>
      <c r="C222" s="16" t="s">
        <v>16</v>
      </c>
      <c r="D222" s="16" t="s">
        <v>10</v>
      </c>
      <c r="E222" s="16" t="s">
        <v>22</v>
      </c>
      <c r="F222" s="16" t="s">
        <v>15</v>
      </c>
      <c r="G222" s="16">
        <v>2</v>
      </c>
      <c r="H222" s="17">
        <v>55000</v>
      </c>
      <c r="I222" s="23">
        <v>0.1</v>
      </c>
      <c r="J222" s="28">
        <f>Table2[[#This Row],[Quantity]]*Table2[[#This Row],[Unit_Price]]</f>
        <v>110000</v>
      </c>
      <c r="K222" s="31">
        <f t="shared" si="3"/>
        <v>99000</v>
      </c>
      <c r="L222" s="31">
        <f>Table2[[#This Row],[gross sales]]-Table2[[#This Row],[net sale]]</f>
        <v>11000</v>
      </c>
      <c r="M222" s="36" t="str">
        <f>TEXT(B222,"mmm")</f>
        <v>Nov</v>
      </c>
    </row>
    <row r="223" spans="1:13">
      <c r="A223" s="19">
        <v>1222</v>
      </c>
      <c r="B223" s="18">
        <v>46009</v>
      </c>
      <c r="C223" s="19" t="s">
        <v>9</v>
      </c>
      <c r="D223" s="19" t="s">
        <v>10</v>
      </c>
      <c r="E223" s="19" t="s">
        <v>22</v>
      </c>
      <c r="F223" s="19" t="s">
        <v>24</v>
      </c>
      <c r="G223" s="19">
        <v>16</v>
      </c>
      <c r="H223" s="20">
        <v>18000</v>
      </c>
      <c r="I223" s="24">
        <v>0.15</v>
      </c>
      <c r="J223" s="28">
        <f>Table2[[#This Row],[Quantity]]*Table2[[#This Row],[Unit_Price]]</f>
        <v>288000</v>
      </c>
      <c r="K223" s="31">
        <f t="shared" si="3"/>
        <v>244800</v>
      </c>
      <c r="L223" s="31">
        <f>Table2[[#This Row],[gross sales]]-Table2[[#This Row],[net sale]]</f>
        <v>43200</v>
      </c>
      <c r="M223" s="37" t="str">
        <f>TEXT(B223,"mmm")</f>
        <v>Dec</v>
      </c>
    </row>
    <row r="224" spans="1:13">
      <c r="A224" s="16">
        <v>1223</v>
      </c>
      <c r="B224" s="15">
        <v>45699</v>
      </c>
      <c r="C224" s="16" t="s">
        <v>33</v>
      </c>
      <c r="D224" s="16" t="s">
        <v>10</v>
      </c>
      <c r="E224" s="16" t="s">
        <v>14</v>
      </c>
      <c r="F224" s="16" t="s">
        <v>32</v>
      </c>
      <c r="G224" s="16">
        <v>20</v>
      </c>
      <c r="H224" s="17">
        <v>2500</v>
      </c>
      <c r="I224" s="23">
        <v>0.05</v>
      </c>
      <c r="J224" s="28">
        <f>Table2[[#This Row],[Quantity]]*Table2[[#This Row],[Unit_Price]]</f>
        <v>50000</v>
      </c>
      <c r="K224" s="31">
        <f t="shared" si="3"/>
        <v>47500</v>
      </c>
      <c r="L224" s="31">
        <f>Table2[[#This Row],[gross sales]]-Table2[[#This Row],[net sale]]</f>
        <v>2500</v>
      </c>
      <c r="M224" s="36" t="str">
        <f>TEXT(B224,"mmm")</f>
        <v>Feb</v>
      </c>
    </row>
    <row r="225" spans="1:13">
      <c r="A225" s="19">
        <v>1224</v>
      </c>
      <c r="B225" s="18">
        <v>45798</v>
      </c>
      <c r="C225" s="19" t="s">
        <v>28</v>
      </c>
      <c r="D225" s="19" t="s">
        <v>26</v>
      </c>
      <c r="E225" s="19" t="s">
        <v>11</v>
      </c>
      <c r="F225" s="19" t="s">
        <v>15</v>
      </c>
      <c r="G225" s="19">
        <v>19</v>
      </c>
      <c r="H225" s="20">
        <v>9000</v>
      </c>
      <c r="I225" s="24">
        <v>0.12</v>
      </c>
      <c r="J225" s="28">
        <f>Table2[[#This Row],[Quantity]]*Table2[[#This Row],[Unit_Price]]</f>
        <v>171000</v>
      </c>
      <c r="K225" s="31">
        <f t="shared" si="3"/>
        <v>150480</v>
      </c>
      <c r="L225" s="31">
        <f>Table2[[#This Row],[gross sales]]-Table2[[#This Row],[net sale]]</f>
        <v>20520</v>
      </c>
      <c r="M225" s="37" t="str">
        <f>TEXT(B225,"mmm")</f>
        <v>May</v>
      </c>
    </row>
    <row r="226" spans="1:13">
      <c r="A226" s="16">
        <v>1225</v>
      </c>
      <c r="B226" s="15">
        <v>45963</v>
      </c>
      <c r="C226" s="16" t="s">
        <v>25</v>
      </c>
      <c r="D226" s="16" t="s">
        <v>26</v>
      </c>
      <c r="E226" s="16" t="s">
        <v>14</v>
      </c>
      <c r="F226" s="16" t="s">
        <v>24</v>
      </c>
      <c r="G226" s="16">
        <v>10</v>
      </c>
      <c r="H226" s="17">
        <v>11000</v>
      </c>
      <c r="I226" s="23">
        <v>0.1</v>
      </c>
      <c r="J226" s="28">
        <f>Table2[[#This Row],[Quantity]]*Table2[[#This Row],[Unit_Price]]</f>
        <v>110000</v>
      </c>
      <c r="K226" s="31">
        <f t="shared" si="3"/>
        <v>99000</v>
      </c>
      <c r="L226" s="31">
        <f>Table2[[#This Row],[gross sales]]-Table2[[#This Row],[net sale]]</f>
        <v>11000</v>
      </c>
      <c r="M226" s="36" t="str">
        <f>TEXT(B226,"mmm")</f>
        <v>Nov</v>
      </c>
    </row>
    <row r="227" spans="1:13">
      <c r="A227" s="19">
        <v>1226</v>
      </c>
      <c r="B227" s="18">
        <v>46017</v>
      </c>
      <c r="C227" s="19" t="s">
        <v>9</v>
      </c>
      <c r="D227" s="19" t="s">
        <v>10</v>
      </c>
      <c r="E227" s="19" t="s">
        <v>17</v>
      </c>
      <c r="F227" s="19" t="s">
        <v>15</v>
      </c>
      <c r="G227" s="19">
        <v>18</v>
      </c>
      <c r="H227" s="20">
        <v>18000</v>
      </c>
      <c r="I227" s="24">
        <v>0.15</v>
      </c>
      <c r="J227" s="28">
        <f>Table2[[#This Row],[Quantity]]*Table2[[#This Row],[Unit_Price]]</f>
        <v>324000</v>
      </c>
      <c r="K227" s="31">
        <f t="shared" si="3"/>
        <v>275400</v>
      </c>
      <c r="L227" s="31">
        <f>Table2[[#This Row],[gross sales]]-Table2[[#This Row],[net sale]]</f>
        <v>48600</v>
      </c>
      <c r="M227" s="37" t="str">
        <f>TEXT(B227,"mmm")</f>
        <v>Dec</v>
      </c>
    </row>
    <row r="228" spans="1:13">
      <c r="A228" s="16">
        <v>1227</v>
      </c>
      <c r="B228" s="15">
        <v>45889</v>
      </c>
      <c r="C228" s="16" t="s">
        <v>37</v>
      </c>
      <c r="D228" s="16" t="s">
        <v>36</v>
      </c>
      <c r="E228" s="16" t="s">
        <v>11</v>
      </c>
      <c r="F228" s="16" t="s">
        <v>20</v>
      </c>
      <c r="G228" s="16">
        <v>8</v>
      </c>
      <c r="H228" s="17">
        <v>1800</v>
      </c>
      <c r="I228" s="23">
        <v>0.1</v>
      </c>
      <c r="J228" s="28">
        <f>Table2[[#This Row],[Quantity]]*Table2[[#This Row],[Unit_Price]]</f>
        <v>14400</v>
      </c>
      <c r="K228" s="31">
        <f t="shared" si="3"/>
        <v>12960</v>
      </c>
      <c r="L228" s="31">
        <f>Table2[[#This Row],[gross sales]]-Table2[[#This Row],[net sale]]</f>
        <v>1440</v>
      </c>
      <c r="M228" s="36" t="str">
        <f>TEXT(B228,"mmm")</f>
        <v>Aug</v>
      </c>
    </row>
    <row r="229" spans="1:13">
      <c r="A229" s="19">
        <v>1228</v>
      </c>
      <c r="B229" s="18">
        <v>45862</v>
      </c>
      <c r="C229" s="19" t="s">
        <v>31</v>
      </c>
      <c r="D229" s="19" t="s">
        <v>26</v>
      </c>
      <c r="E229" s="19" t="s">
        <v>22</v>
      </c>
      <c r="F229" s="19" t="s">
        <v>23</v>
      </c>
      <c r="G229" s="19">
        <v>4</v>
      </c>
      <c r="H229" s="20">
        <v>8500</v>
      </c>
      <c r="I229" s="24">
        <v>0.08</v>
      </c>
      <c r="J229" s="28">
        <f>Table2[[#This Row],[Quantity]]*Table2[[#This Row],[Unit_Price]]</f>
        <v>34000</v>
      </c>
      <c r="K229" s="31">
        <f t="shared" si="3"/>
        <v>31280</v>
      </c>
      <c r="L229" s="31">
        <f>Table2[[#This Row],[gross sales]]-Table2[[#This Row],[net sale]]</f>
        <v>2720</v>
      </c>
      <c r="M229" s="37" t="str">
        <f>TEXT(B229,"mmm")</f>
        <v>Jul</v>
      </c>
    </row>
    <row r="230" spans="1:13">
      <c r="A230" s="16">
        <v>1229</v>
      </c>
      <c r="B230" s="15">
        <v>45998</v>
      </c>
      <c r="C230" s="16" t="s">
        <v>21</v>
      </c>
      <c r="D230" s="16" t="s">
        <v>10</v>
      </c>
      <c r="E230" s="16" t="s">
        <v>22</v>
      </c>
      <c r="F230" s="16" t="s">
        <v>24</v>
      </c>
      <c r="G230" s="16">
        <v>12</v>
      </c>
      <c r="H230" s="17">
        <v>14000</v>
      </c>
      <c r="I230" s="23">
        <v>0.05</v>
      </c>
      <c r="J230" s="28">
        <f>Table2[[#This Row],[Quantity]]*Table2[[#This Row],[Unit_Price]]</f>
        <v>168000</v>
      </c>
      <c r="K230" s="31">
        <f t="shared" si="3"/>
        <v>159600</v>
      </c>
      <c r="L230" s="31">
        <f>Table2[[#This Row],[gross sales]]-Table2[[#This Row],[net sale]]</f>
        <v>8400</v>
      </c>
      <c r="M230" s="36" t="str">
        <f>TEXT(B230,"mmm")</f>
        <v>Dec</v>
      </c>
    </row>
    <row r="231" spans="1:13">
      <c r="A231" s="19">
        <v>1230</v>
      </c>
      <c r="B231" s="18">
        <v>45704</v>
      </c>
      <c r="C231" s="19" t="s">
        <v>38</v>
      </c>
      <c r="D231" s="19" t="s">
        <v>10</v>
      </c>
      <c r="E231" s="19" t="s">
        <v>22</v>
      </c>
      <c r="F231" s="19" t="s">
        <v>24</v>
      </c>
      <c r="G231" s="19">
        <v>3</v>
      </c>
      <c r="H231" s="20">
        <v>42000</v>
      </c>
      <c r="I231" s="24">
        <v>0</v>
      </c>
      <c r="J231" s="28">
        <f>Table2[[#This Row],[Quantity]]*Table2[[#This Row],[Unit_Price]]</f>
        <v>126000</v>
      </c>
      <c r="K231" s="31">
        <f t="shared" si="3"/>
        <v>126000</v>
      </c>
      <c r="L231" s="31">
        <f>Table2[[#This Row],[gross sales]]-Table2[[#This Row],[net sale]]</f>
        <v>0</v>
      </c>
      <c r="M231" s="37" t="str">
        <f>TEXT(B231,"mmm")</f>
        <v>Feb</v>
      </c>
    </row>
    <row r="232" spans="1:13">
      <c r="A232" s="16">
        <v>1231</v>
      </c>
      <c r="B232" s="15">
        <v>45848</v>
      </c>
      <c r="C232" s="16" t="s">
        <v>35</v>
      </c>
      <c r="D232" s="16" t="s">
        <v>36</v>
      </c>
      <c r="E232" s="16" t="s">
        <v>14</v>
      </c>
      <c r="F232" s="16" t="s">
        <v>23</v>
      </c>
      <c r="G232" s="16">
        <v>5</v>
      </c>
      <c r="H232" s="17">
        <v>3500</v>
      </c>
      <c r="I232" s="23">
        <v>0.12</v>
      </c>
      <c r="J232" s="28">
        <f>Table2[[#This Row],[Quantity]]*Table2[[#This Row],[Unit_Price]]</f>
        <v>17500</v>
      </c>
      <c r="K232" s="31">
        <f t="shared" si="3"/>
        <v>15400</v>
      </c>
      <c r="L232" s="31">
        <f>Table2[[#This Row],[gross sales]]-Table2[[#This Row],[net sale]]</f>
        <v>2100</v>
      </c>
      <c r="M232" s="36" t="str">
        <f>TEXT(B232,"mmm")</f>
        <v>Jul</v>
      </c>
    </row>
    <row r="233" spans="1:13">
      <c r="A233" s="19">
        <v>1232</v>
      </c>
      <c r="B233" s="18">
        <v>46001</v>
      </c>
      <c r="C233" s="19" t="s">
        <v>9</v>
      </c>
      <c r="D233" s="19" t="s">
        <v>10</v>
      </c>
      <c r="E233" s="19" t="s">
        <v>22</v>
      </c>
      <c r="F233" s="19" t="s">
        <v>18</v>
      </c>
      <c r="G233" s="19">
        <v>14</v>
      </c>
      <c r="H233" s="20">
        <v>18000</v>
      </c>
      <c r="I233" s="24">
        <v>0.08</v>
      </c>
      <c r="J233" s="28">
        <f>Table2[[#This Row],[Quantity]]*Table2[[#This Row],[Unit_Price]]</f>
        <v>252000</v>
      </c>
      <c r="K233" s="31">
        <f t="shared" si="3"/>
        <v>231840</v>
      </c>
      <c r="L233" s="31">
        <f>Table2[[#This Row],[gross sales]]-Table2[[#This Row],[net sale]]</f>
        <v>20160</v>
      </c>
      <c r="M233" s="37" t="str">
        <f>TEXT(B233,"mmm")</f>
        <v>Dec</v>
      </c>
    </row>
    <row r="234" spans="1:13">
      <c r="A234" s="16">
        <v>1233</v>
      </c>
      <c r="B234" s="15">
        <v>45805</v>
      </c>
      <c r="C234" s="16" t="s">
        <v>28</v>
      </c>
      <c r="D234" s="16" t="s">
        <v>26</v>
      </c>
      <c r="E234" s="16" t="s">
        <v>14</v>
      </c>
      <c r="F234" s="16" t="s">
        <v>12</v>
      </c>
      <c r="G234" s="16">
        <v>10</v>
      </c>
      <c r="H234" s="17">
        <v>9000</v>
      </c>
      <c r="I234" s="23">
        <v>0.08</v>
      </c>
      <c r="J234" s="28">
        <f>Table2[[#This Row],[Quantity]]*Table2[[#This Row],[Unit_Price]]</f>
        <v>90000</v>
      </c>
      <c r="K234" s="31">
        <f t="shared" si="3"/>
        <v>82800</v>
      </c>
      <c r="L234" s="31">
        <f>Table2[[#This Row],[gross sales]]-Table2[[#This Row],[net sale]]</f>
        <v>7200</v>
      </c>
      <c r="M234" s="36" t="str">
        <f>TEXT(B234,"mmm")</f>
        <v>May</v>
      </c>
    </row>
    <row r="235" spans="1:13">
      <c r="A235" s="19">
        <v>1234</v>
      </c>
      <c r="B235" s="18">
        <v>45737</v>
      </c>
      <c r="C235" s="19" t="s">
        <v>29</v>
      </c>
      <c r="D235" s="19" t="s">
        <v>30</v>
      </c>
      <c r="E235" s="19" t="s">
        <v>14</v>
      </c>
      <c r="F235" s="19" t="s">
        <v>23</v>
      </c>
      <c r="G235" s="19">
        <v>16</v>
      </c>
      <c r="H235" s="19">
        <v>250</v>
      </c>
      <c r="I235" s="24">
        <v>0.05</v>
      </c>
      <c r="J235" s="28">
        <f>Table2[[#This Row],[Quantity]]*Table2[[#This Row],[Unit_Price]]</f>
        <v>4000</v>
      </c>
      <c r="K235" s="31">
        <f t="shared" si="3"/>
        <v>3800</v>
      </c>
      <c r="L235" s="31">
        <f>Table2[[#This Row],[gross sales]]-Table2[[#This Row],[net sale]]</f>
        <v>200</v>
      </c>
      <c r="M235" s="37" t="str">
        <f>TEXT(B235,"mmm")</f>
        <v>Mar</v>
      </c>
    </row>
    <row r="236" spans="1:13">
      <c r="A236" s="16">
        <v>1235</v>
      </c>
      <c r="B236" s="15">
        <v>45942</v>
      </c>
      <c r="C236" s="16" t="s">
        <v>33</v>
      </c>
      <c r="D236" s="16" t="s">
        <v>10</v>
      </c>
      <c r="E236" s="16" t="s">
        <v>17</v>
      </c>
      <c r="F236" s="16" t="s">
        <v>15</v>
      </c>
      <c r="G236" s="16">
        <v>4</v>
      </c>
      <c r="H236" s="17">
        <v>2500</v>
      </c>
      <c r="I236" s="23">
        <v>0.08</v>
      </c>
      <c r="J236" s="28">
        <f>Table2[[#This Row],[Quantity]]*Table2[[#This Row],[Unit_Price]]</f>
        <v>10000</v>
      </c>
      <c r="K236" s="31">
        <f t="shared" si="3"/>
        <v>9200</v>
      </c>
      <c r="L236" s="31">
        <f>Table2[[#This Row],[gross sales]]-Table2[[#This Row],[net sale]]</f>
        <v>800</v>
      </c>
      <c r="M236" s="36" t="str">
        <f>TEXT(B236,"mmm")</f>
        <v>Oct</v>
      </c>
    </row>
    <row r="237" spans="1:13">
      <c r="A237" s="19">
        <v>1236</v>
      </c>
      <c r="B237" s="18">
        <v>45945</v>
      </c>
      <c r="C237" s="19" t="s">
        <v>35</v>
      </c>
      <c r="D237" s="19" t="s">
        <v>36</v>
      </c>
      <c r="E237" s="19" t="s">
        <v>14</v>
      </c>
      <c r="F237" s="19" t="s">
        <v>27</v>
      </c>
      <c r="G237" s="19">
        <v>20</v>
      </c>
      <c r="H237" s="20">
        <v>3500</v>
      </c>
      <c r="I237" s="24">
        <v>0.12</v>
      </c>
      <c r="J237" s="28">
        <f>Table2[[#This Row],[Quantity]]*Table2[[#This Row],[Unit_Price]]</f>
        <v>70000</v>
      </c>
      <c r="K237" s="31">
        <f t="shared" si="3"/>
        <v>61600</v>
      </c>
      <c r="L237" s="31">
        <f>Table2[[#This Row],[gross sales]]-Table2[[#This Row],[net sale]]</f>
        <v>8400</v>
      </c>
      <c r="M237" s="37" t="str">
        <f>TEXT(B237,"mmm")</f>
        <v>Oct</v>
      </c>
    </row>
    <row r="238" spans="1:13">
      <c r="A238" s="16">
        <v>1237</v>
      </c>
      <c r="B238" s="15">
        <v>45672</v>
      </c>
      <c r="C238" s="16" t="s">
        <v>13</v>
      </c>
      <c r="D238" s="16" t="s">
        <v>10</v>
      </c>
      <c r="E238" s="16" t="s">
        <v>11</v>
      </c>
      <c r="F238" s="16" t="s">
        <v>23</v>
      </c>
      <c r="G238" s="16">
        <v>9</v>
      </c>
      <c r="H238" s="17">
        <v>1200</v>
      </c>
      <c r="I238" s="23">
        <v>0.15</v>
      </c>
      <c r="J238" s="28">
        <f>Table2[[#This Row],[Quantity]]*Table2[[#This Row],[Unit_Price]]</f>
        <v>10800</v>
      </c>
      <c r="K238" s="31">
        <f t="shared" si="3"/>
        <v>9180</v>
      </c>
      <c r="L238" s="31">
        <f>Table2[[#This Row],[gross sales]]-Table2[[#This Row],[net sale]]</f>
        <v>1620</v>
      </c>
      <c r="M238" s="36" t="str">
        <f>TEXT(B238,"mmm")</f>
        <v>Jan</v>
      </c>
    </row>
    <row r="239" spans="1:13">
      <c r="A239" s="19">
        <v>1238</v>
      </c>
      <c r="B239" s="18">
        <v>45837</v>
      </c>
      <c r="C239" s="19" t="s">
        <v>16</v>
      </c>
      <c r="D239" s="19" t="s">
        <v>10</v>
      </c>
      <c r="E239" s="19" t="s">
        <v>22</v>
      </c>
      <c r="F239" s="19" t="s">
        <v>24</v>
      </c>
      <c r="G239" s="19">
        <v>6</v>
      </c>
      <c r="H239" s="20">
        <v>55000</v>
      </c>
      <c r="I239" s="24">
        <v>0.05</v>
      </c>
      <c r="J239" s="28">
        <f>Table2[[#This Row],[Quantity]]*Table2[[#This Row],[Unit_Price]]</f>
        <v>330000</v>
      </c>
      <c r="K239" s="31">
        <f t="shared" si="3"/>
        <v>313500</v>
      </c>
      <c r="L239" s="31">
        <f>Table2[[#This Row],[gross sales]]-Table2[[#This Row],[net sale]]</f>
        <v>16500</v>
      </c>
      <c r="M239" s="37" t="str">
        <f>TEXT(B239,"mmm")</f>
        <v>Jun</v>
      </c>
    </row>
    <row r="240" spans="1:13">
      <c r="A240" s="16">
        <v>1239</v>
      </c>
      <c r="B240" s="15">
        <v>45730</v>
      </c>
      <c r="C240" s="16" t="s">
        <v>39</v>
      </c>
      <c r="D240" s="16" t="s">
        <v>30</v>
      </c>
      <c r="E240" s="16" t="s">
        <v>17</v>
      </c>
      <c r="F240" s="16" t="s">
        <v>15</v>
      </c>
      <c r="G240" s="16">
        <v>1</v>
      </c>
      <c r="H240" s="16">
        <v>180</v>
      </c>
      <c r="I240" s="23">
        <v>0</v>
      </c>
      <c r="J240" s="28">
        <f>Table2[[#This Row],[Quantity]]*Table2[[#This Row],[Unit_Price]]</f>
        <v>180</v>
      </c>
      <c r="K240" s="31">
        <f t="shared" si="3"/>
        <v>180</v>
      </c>
      <c r="L240" s="31">
        <f>Table2[[#This Row],[gross sales]]-Table2[[#This Row],[net sale]]</f>
        <v>0</v>
      </c>
      <c r="M240" s="36" t="str">
        <f>TEXT(B240,"mmm")</f>
        <v>Mar</v>
      </c>
    </row>
    <row r="241" spans="1:13">
      <c r="A241" s="19">
        <v>1240</v>
      </c>
      <c r="B241" s="18">
        <v>45872</v>
      </c>
      <c r="C241" s="19" t="s">
        <v>34</v>
      </c>
      <c r="D241" s="19" t="s">
        <v>26</v>
      </c>
      <c r="E241" s="19" t="s">
        <v>11</v>
      </c>
      <c r="F241" s="19" t="s">
        <v>27</v>
      </c>
      <c r="G241" s="19">
        <v>11</v>
      </c>
      <c r="H241" s="20">
        <v>15000</v>
      </c>
      <c r="I241" s="24">
        <v>0.05</v>
      </c>
      <c r="J241" s="28">
        <f>Table2[[#This Row],[Quantity]]*Table2[[#This Row],[Unit_Price]]</f>
        <v>165000</v>
      </c>
      <c r="K241" s="31">
        <f t="shared" si="3"/>
        <v>156750</v>
      </c>
      <c r="L241" s="31">
        <f>Table2[[#This Row],[gross sales]]-Table2[[#This Row],[net sale]]</f>
        <v>8250</v>
      </c>
      <c r="M241" s="37" t="str">
        <f>TEXT(B241,"mmm")</f>
        <v>Aug</v>
      </c>
    </row>
    <row r="242" spans="1:13">
      <c r="A242" s="16">
        <v>1241</v>
      </c>
      <c r="B242" s="15">
        <v>45824</v>
      </c>
      <c r="C242" s="16" t="s">
        <v>35</v>
      </c>
      <c r="D242" s="16" t="s">
        <v>36</v>
      </c>
      <c r="E242" s="16" t="s">
        <v>14</v>
      </c>
      <c r="F242" s="16" t="s">
        <v>18</v>
      </c>
      <c r="G242" s="16">
        <v>19</v>
      </c>
      <c r="H242" s="17">
        <v>3500</v>
      </c>
      <c r="I242" s="23">
        <v>0.12</v>
      </c>
      <c r="J242" s="28">
        <f>Table2[[#This Row],[Quantity]]*Table2[[#This Row],[Unit_Price]]</f>
        <v>66500</v>
      </c>
      <c r="K242" s="31">
        <f t="shared" si="3"/>
        <v>58520</v>
      </c>
      <c r="L242" s="31">
        <f>Table2[[#This Row],[gross sales]]-Table2[[#This Row],[net sale]]</f>
        <v>7980</v>
      </c>
      <c r="M242" s="36" t="str">
        <f>TEXT(B242,"mmm")</f>
        <v>Jun</v>
      </c>
    </row>
    <row r="243" spans="1:13">
      <c r="A243" s="19">
        <v>1242</v>
      </c>
      <c r="B243" s="18">
        <v>45737</v>
      </c>
      <c r="C243" s="19" t="s">
        <v>13</v>
      </c>
      <c r="D243" s="19" t="s">
        <v>10</v>
      </c>
      <c r="E243" s="19" t="s">
        <v>14</v>
      </c>
      <c r="F243" s="19" t="s">
        <v>27</v>
      </c>
      <c r="G243" s="19">
        <v>20</v>
      </c>
      <c r="H243" s="20">
        <v>1200</v>
      </c>
      <c r="I243" s="24">
        <v>0</v>
      </c>
      <c r="J243" s="28">
        <f>Table2[[#This Row],[Quantity]]*Table2[[#This Row],[Unit_Price]]</f>
        <v>24000</v>
      </c>
      <c r="K243" s="31">
        <f t="shared" si="3"/>
        <v>24000</v>
      </c>
      <c r="L243" s="31">
        <f>Table2[[#This Row],[gross sales]]-Table2[[#This Row],[net sale]]</f>
        <v>0</v>
      </c>
      <c r="M243" s="37" t="str">
        <f>TEXT(B243,"mmm")</f>
        <v>Mar</v>
      </c>
    </row>
    <row r="244" spans="1:13">
      <c r="A244" s="16">
        <v>1243</v>
      </c>
      <c r="B244" s="15">
        <v>45884</v>
      </c>
      <c r="C244" s="16" t="s">
        <v>29</v>
      </c>
      <c r="D244" s="16" t="s">
        <v>30</v>
      </c>
      <c r="E244" s="16" t="s">
        <v>22</v>
      </c>
      <c r="F244" s="16" t="s">
        <v>15</v>
      </c>
      <c r="G244" s="16">
        <v>14</v>
      </c>
      <c r="H244" s="16">
        <v>250</v>
      </c>
      <c r="I244" s="23">
        <v>0.1</v>
      </c>
      <c r="J244" s="28">
        <f>Table2[[#This Row],[Quantity]]*Table2[[#This Row],[Unit_Price]]</f>
        <v>3500</v>
      </c>
      <c r="K244" s="31">
        <f t="shared" si="3"/>
        <v>3150</v>
      </c>
      <c r="L244" s="31">
        <f>Table2[[#This Row],[gross sales]]-Table2[[#This Row],[net sale]]</f>
        <v>350</v>
      </c>
      <c r="M244" s="36" t="str">
        <f>TEXT(B244,"mmm")</f>
        <v>Aug</v>
      </c>
    </row>
    <row r="245" spans="1:13">
      <c r="A245" s="19">
        <v>1244</v>
      </c>
      <c r="B245" s="18">
        <v>45797</v>
      </c>
      <c r="C245" s="19" t="s">
        <v>19</v>
      </c>
      <c r="D245" s="19" t="s">
        <v>10</v>
      </c>
      <c r="E245" s="19" t="s">
        <v>11</v>
      </c>
      <c r="F245" s="19" t="s">
        <v>15</v>
      </c>
      <c r="G245" s="19">
        <v>17</v>
      </c>
      <c r="H245" s="19">
        <v>800</v>
      </c>
      <c r="I245" s="24">
        <v>0</v>
      </c>
      <c r="J245" s="28">
        <f>Table2[[#This Row],[Quantity]]*Table2[[#This Row],[Unit_Price]]</f>
        <v>13600</v>
      </c>
      <c r="K245" s="31">
        <f t="shared" si="3"/>
        <v>13600</v>
      </c>
      <c r="L245" s="31">
        <f>Table2[[#This Row],[gross sales]]-Table2[[#This Row],[net sale]]</f>
        <v>0</v>
      </c>
      <c r="M245" s="37" t="str">
        <f>TEXT(B245,"mmm")</f>
        <v>May</v>
      </c>
    </row>
    <row r="246" spans="1:13">
      <c r="A246" s="16">
        <v>1245</v>
      </c>
      <c r="B246" s="15">
        <v>45714</v>
      </c>
      <c r="C246" s="16" t="s">
        <v>21</v>
      </c>
      <c r="D246" s="16" t="s">
        <v>10</v>
      </c>
      <c r="E246" s="16" t="s">
        <v>11</v>
      </c>
      <c r="F246" s="16" t="s">
        <v>18</v>
      </c>
      <c r="G246" s="16">
        <v>19</v>
      </c>
      <c r="H246" s="17">
        <v>14000</v>
      </c>
      <c r="I246" s="23">
        <v>0.1</v>
      </c>
      <c r="J246" s="28">
        <f>Table2[[#This Row],[Quantity]]*Table2[[#This Row],[Unit_Price]]</f>
        <v>266000</v>
      </c>
      <c r="K246" s="31">
        <f t="shared" si="3"/>
        <v>239400</v>
      </c>
      <c r="L246" s="31">
        <f>Table2[[#This Row],[gross sales]]-Table2[[#This Row],[net sale]]</f>
        <v>26600</v>
      </c>
      <c r="M246" s="36" t="str">
        <f>TEXT(B246,"mmm")</f>
        <v>Feb</v>
      </c>
    </row>
    <row r="247" spans="1:13">
      <c r="A247" s="19">
        <v>1246</v>
      </c>
      <c r="B247" s="18">
        <v>45770</v>
      </c>
      <c r="C247" s="19" t="s">
        <v>31</v>
      </c>
      <c r="D247" s="19" t="s">
        <v>26</v>
      </c>
      <c r="E247" s="19" t="s">
        <v>14</v>
      </c>
      <c r="F247" s="19" t="s">
        <v>12</v>
      </c>
      <c r="G247" s="19">
        <v>20</v>
      </c>
      <c r="H247" s="20">
        <v>8500</v>
      </c>
      <c r="I247" s="24">
        <v>0</v>
      </c>
      <c r="J247" s="28">
        <f>Table2[[#This Row],[Quantity]]*Table2[[#This Row],[Unit_Price]]</f>
        <v>170000</v>
      </c>
      <c r="K247" s="31">
        <f t="shared" si="3"/>
        <v>170000</v>
      </c>
      <c r="L247" s="31">
        <f>Table2[[#This Row],[gross sales]]-Table2[[#This Row],[net sale]]</f>
        <v>0</v>
      </c>
      <c r="M247" s="37" t="str">
        <f>TEXT(B247,"mmm")</f>
        <v>Apr</v>
      </c>
    </row>
    <row r="248" spans="1:13">
      <c r="A248" s="16">
        <v>1247</v>
      </c>
      <c r="B248" s="15">
        <v>45812</v>
      </c>
      <c r="C248" s="16" t="s">
        <v>19</v>
      </c>
      <c r="D248" s="16" t="s">
        <v>10</v>
      </c>
      <c r="E248" s="16" t="s">
        <v>11</v>
      </c>
      <c r="F248" s="16" t="s">
        <v>23</v>
      </c>
      <c r="G248" s="16">
        <v>5</v>
      </c>
      <c r="H248" s="16">
        <v>800</v>
      </c>
      <c r="I248" s="23">
        <v>0.08</v>
      </c>
      <c r="J248" s="28">
        <f>Table2[[#This Row],[Quantity]]*Table2[[#This Row],[Unit_Price]]</f>
        <v>4000</v>
      </c>
      <c r="K248" s="31">
        <f t="shared" si="3"/>
        <v>3680</v>
      </c>
      <c r="L248" s="31">
        <f>Table2[[#This Row],[gross sales]]-Table2[[#This Row],[net sale]]</f>
        <v>320</v>
      </c>
      <c r="M248" s="36" t="str">
        <f>TEXT(B248,"mmm")</f>
        <v>Jun</v>
      </c>
    </row>
    <row r="249" spans="1:13">
      <c r="A249" s="19">
        <v>1248</v>
      </c>
      <c r="B249" s="18">
        <v>45719</v>
      </c>
      <c r="C249" s="19" t="s">
        <v>16</v>
      </c>
      <c r="D249" s="19" t="s">
        <v>10</v>
      </c>
      <c r="E249" s="19" t="s">
        <v>22</v>
      </c>
      <c r="F249" s="19" t="s">
        <v>32</v>
      </c>
      <c r="G249" s="19">
        <v>16</v>
      </c>
      <c r="H249" s="20">
        <v>55000</v>
      </c>
      <c r="I249" s="24">
        <v>0.15</v>
      </c>
      <c r="J249" s="28">
        <f>Table2[[#This Row],[Quantity]]*Table2[[#This Row],[Unit_Price]]</f>
        <v>880000</v>
      </c>
      <c r="K249" s="31">
        <f t="shared" si="3"/>
        <v>748000</v>
      </c>
      <c r="L249" s="31">
        <f>Table2[[#This Row],[gross sales]]-Table2[[#This Row],[net sale]]</f>
        <v>132000</v>
      </c>
      <c r="M249" s="37" t="str">
        <f>TEXT(B249,"mmm")</f>
        <v>Mar</v>
      </c>
    </row>
    <row r="250" spans="1:13">
      <c r="A250" s="16">
        <v>1249</v>
      </c>
      <c r="B250" s="15">
        <v>45724</v>
      </c>
      <c r="C250" s="16" t="s">
        <v>31</v>
      </c>
      <c r="D250" s="16" t="s">
        <v>26</v>
      </c>
      <c r="E250" s="16" t="s">
        <v>17</v>
      </c>
      <c r="F250" s="16" t="s">
        <v>23</v>
      </c>
      <c r="G250" s="16">
        <v>18</v>
      </c>
      <c r="H250" s="17">
        <v>8500</v>
      </c>
      <c r="I250" s="23">
        <v>0.15</v>
      </c>
      <c r="J250" s="28">
        <f>Table2[[#This Row],[Quantity]]*Table2[[#This Row],[Unit_Price]]</f>
        <v>153000</v>
      </c>
      <c r="K250" s="31">
        <f t="shared" si="3"/>
        <v>130050</v>
      </c>
      <c r="L250" s="31">
        <f>Table2[[#This Row],[gross sales]]-Table2[[#This Row],[net sale]]</f>
        <v>22950</v>
      </c>
      <c r="M250" s="36" t="str">
        <f>TEXT(B250,"mmm")</f>
        <v>Mar</v>
      </c>
    </row>
    <row r="251" spans="1:13">
      <c r="A251" s="19">
        <v>1250</v>
      </c>
      <c r="B251" s="18">
        <v>45694</v>
      </c>
      <c r="C251" s="19" t="s">
        <v>31</v>
      </c>
      <c r="D251" s="19" t="s">
        <v>26</v>
      </c>
      <c r="E251" s="19" t="s">
        <v>14</v>
      </c>
      <c r="F251" s="19" t="s">
        <v>20</v>
      </c>
      <c r="G251" s="19">
        <v>2</v>
      </c>
      <c r="H251" s="20">
        <v>8500</v>
      </c>
      <c r="I251" s="24">
        <v>0.1</v>
      </c>
      <c r="J251" s="28">
        <f>Table2[[#This Row],[Quantity]]*Table2[[#This Row],[Unit_Price]]</f>
        <v>17000</v>
      </c>
      <c r="K251" s="31">
        <f t="shared" si="3"/>
        <v>15300</v>
      </c>
      <c r="L251" s="31">
        <f>Table2[[#This Row],[gross sales]]-Table2[[#This Row],[net sale]]</f>
        <v>1700</v>
      </c>
      <c r="M251" s="37" t="str">
        <f>TEXT(B251,"mmm")</f>
        <v>Feb</v>
      </c>
    </row>
    <row r="252" spans="1:13">
      <c r="A252" s="16">
        <v>1251</v>
      </c>
      <c r="B252" s="15">
        <v>45697</v>
      </c>
      <c r="C252" s="16" t="s">
        <v>38</v>
      </c>
      <c r="D252" s="16" t="s">
        <v>10</v>
      </c>
      <c r="E252" s="16" t="s">
        <v>22</v>
      </c>
      <c r="F252" s="16" t="s">
        <v>15</v>
      </c>
      <c r="G252" s="16">
        <v>11</v>
      </c>
      <c r="H252" s="17">
        <v>42000</v>
      </c>
      <c r="I252" s="23">
        <v>0.12</v>
      </c>
      <c r="J252" s="28">
        <f>Table2[[#This Row],[Quantity]]*Table2[[#This Row],[Unit_Price]]</f>
        <v>462000</v>
      </c>
      <c r="K252" s="31">
        <f t="shared" si="3"/>
        <v>406560</v>
      </c>
      <c r="L252" s="31">
        <f>Table2[[#This Row],[gross sales]]-Table2[[#This Row],[net sale]]</f>
        <v>55440</v>
      </c>
      <c r="M252" s="36" t="str">
        <f>TEXT(B252,"mmm")</f>
        <v>Feb</v>
      </c>
    </row>
    <row r="253" spans="1:13">
      <c r="A253" s="19">
        <v>1252</v>
      </c>
      <c r="B253" s="18">
        <v>46021</v>
      </c>
      <c r="C253" s="19" t="s">
        <v>29</v>
      </c>
      <c r="D253" s="19" t="s">
        <v>30</v>
      </c>
      <c r="E253" s="19" t="s">
        <v>14</v>
      </c>
      <c r="F253" s="19" t="s">
        <v>15</v>
      </c>
      <c r="G253" s="19">
        <v>14</v>
      </c>
      <c r="H253" s="19">
        <v>250</v>
      </c>
      <c r="I253" s="24">
        <v>0.08</v>
      </c>
      <c r="J253" s="28">
        <f>Table2[[#This Row],[Quantity]]*Table2[[#This Row],[Unit_Price]]</f>
        <v>3500</v>
      </c>
      <c r="K253" s="31">
        <f t="shared" si="3"/>
        <v>3220</v>
      </c>
      <c r="L253" s="31">
        <f>Table2[[#This Row],[gross sales]]-Table2[[#This Row],[net sale]]</f>
        <v>280</v>
      </c>
      <c r="M253" s="37" t="str">
        <f>TEXT(B253,"mmm")</f>
        <v>Dec</v>
      </c>
    </row>
    <row r="254" spans="1:13">
      <c r="A254" s="16">
        <v>1253</v>
      </c>
      <c r="B254" s="15">
        <v>45668</v>
      </c>
      <c r="C254" s="16" t="s">
        <v>33</v>
      </c>
      <c r="D254" s="16" t="s">
        <v>10</v>
      </c>
      <c r="E254" s="16" t="s">
        <v>22</v>
      </c>
      <c r="F254" s="16" t="s">
        <v>23</v>
      </c>
      <c r="G254" s="16">
        <v>6</v>
      </c>
      <c r="H254" s="17">
        <v>2500</v>
      </c>
      <c r="I254" s="23">
        <v>0.12</v>
      </c>
      <c r="J254" s="28">
        <f>Table2[[#This Row],[Quantity]]*Table2[[#This Row],[Unit_Price]]</f>
        <v>15000</v>
      </c>
      <c r="K254" s="31">
        <f t="shared" si="3"/>
        <v>13200</v>
      </c>
      <c r="L254" s="31">
        <f>Table2[[#This Row],[gross sales]]-Table2[[#This Row],[net sale]]</f>
        <v>1800</v>
      </c>
      <c r="M254" s="36" t="str">
        <f>TEXT(B254,"mmm")</f>
        <v>Jan</v>
      </c>
    </row>
    <row r="255" spans="1:13">
      <c r="A255" s="19">
        <v>1254</v>
      </c>
      <c r="B255" s="18">
        <v>45703</v>
      </c>
      <c r="C255" s="19" t="s">
        <v>31</v>
      </c>
      <c r="D255" s="19" t="s">
        <v>26</v>
      </c>
      <c r="E255" s="19" t="s">
        <v>22</v>
      </c>
      <c r="F255" s="19" t="s">
        <v>15</v>
      </c>
      <c r="G255" s="19">
        <v>4</v>
      </c>
      <c r="H255" s="20">
        <v>8500</v>
      </c>
      <c r="I255" s="24">
        <v>0.05</v>
      </c>
      <c r="J255" s="28">
        <f>Table2[[#This Row],[Quantity]]*Table2[[#This Row],[Unit_Price]]</f>
        <v>34000</v>
      </c>
      <c r="K255" s="31">
        <f t="shared" si="3"/>
        <v>32300</v>
      </c>
      <c r="L255" s="31">
        <f>Table2[[#This Row],[gross sales]]-Table2[[#This Row],[net sale]]</f>
        <v>1700</v>
      </c>
      <c r="M255" s="37" t="str">
        <f>TEXT(B255,"mmm")</f>
        <v>Feb</v>
      </c>
    </row>
    <row r="256" spans="1:13">
      <c r="A256" s="16">
        <v>1255</v>
      </c>
      <c r="B256" s="15">
        <v>45926</v>
      </c>
      <c r="C256" s="16" t="s">
        <v>9</v>
      </c>
      <c r="D256" s="16" t="s">
        <v>10</v>
      </c>
      <c r="E256" s="16" t="s">
        <v>11</v>
      </c>
      <c r="F256" s="16" t="s">
        <v>12</v>
      </c>
      <c r="G256" s="16">
        <v>13</v>
      </c>
      <c r="H256" s="17">
        <v>18000</v>
      </c>
      <c r="I256" s="23">
        <v>0.08</v>
      </c>
      <c r="J256" s="28">
        <f>Table2[[#This Row],[Quantity]]*Table2[[#This Row],[Unit_Price]]</f>
        <v>234000</v>
      </c>
      <c r="K256" s="31">
        <f t="shared" si="3"/>
        <v>215280</v>
      </c>
      <c r="L256" s="31">
        <f>Table2[[#This Row],[gross sales]]-Table2[[#This Row],[net sale]]</f>
        <v>18720</v>
      </c>
      <c r="M256" s="36" t="str">
        <f>TEXT(B256,"mmm")</f>
        <v>Sep</v>
      </c>
    </row>
    <row r="257" spans="1:13">
      <c r="A257" s="19">
        <v>1256</v>
      </c>
      <c r="B257" s="18">
        <v>45828</v>
      </c>
      <c r="C257" s="19" t="s">
        <v>35</v>
      </c>
      <c r="D257" s="19" t="s">
        <v>36</v>
      </c>
      <c r="E257" s="19" t="s">
        <v>14</v>
      </c>
      <c r="F257" s="19" t="s">
        <v>12</v>
      </c>
      <c r="G257" s="19">
        <v>6</v>
      </c>
      <c r="H257" s="20">
        <v>3500</v>
      </c>
      <c r="I257" s="24">
        <v>0</v>
      </c>
      <c r="J257" s="28">
        <f>Table2[[#This Row],[Quantity]]*Table2[[#This Row],[Unit_Price]]</f>
        <v>21000</v>
      </c>
      <c r="K257" s="31">
        <f t="shared" si="3"/>
        <v>21000</v>
      </c>
      <c r="L257" s="31">
        <f>Table2[[#This Row],[gross sales]]-Table2[[#This Row],[net sale]]</f>
        <v>0</v>
      </c>
      <c r="M257" s="37" t="str">
        <f>TEXT(B257,"mmm")</f>
        <v>Jun</v>
      </c>
    </row>
    <row r="258" spans="1:13">
      <c r="A258" s="16">
        <v>1257</v>
      </c>
      <c r="B258" s="15">
        <v>45836</v>
      </c>
      <c r="C258" s="16" t="s">
        <v>33</v>
      </c>
      <c r="D258" s="16" t="s">
        <v>10</v>
      </c>
      <c r="E258" s="16" t="s">
        <v>14</v>
      </c>
      <c r="F258" s="16" t="s">
        <v>32</v>
      </c>
      <c r="G258" s="16">
        <v>5</v>
      </c>
      <c r="H258" s="17">
        <v>2500</v>
      </c>
      <c r="I258" s="23">
        <v>0.05</v>
      </c>
      <c r="J258" s="28">
        <f>Table2[[#This Row],[Quantity]]*Table2[[#This Row],[Unit_Price]]</f>
        <v>12500</v>
      </c>
      <c r="K258" s="31">
        <f t="shared" ref="K258:K321" si="4">J258*(1-I258)</f>
        <v>11875</v>
      </c>
      <c r="L258" s="31">
        <f>Table2[[#This Row],[gross sales]]-Table2[[#This Row],[net sale]]</f>
        <v>625</v>
      </c>
      <c r="M258" s="36" t="str">
        <f>TEXT(B258,"mmm")</f>
        <v>Jun</v>
      </c>
    </row>
    <row r="259" spans="1:13">
      <c r="A259" s="19">
        <v>1258</v>
      </c>
      <c r="B259" s="18">
        <v>45789</v>
      </c>
      <c r="C259" s="19" t="s">
        <v>19</v>
      </c>
      <c r="D259" s="19" t="s">
        <v>10</v>
      </c>
      <c r="E259" s="19" t="s">
        <v>17</v>
      </c>
      <c r="F259" s="19" t="s">
        <v>24</v>
      </c>
      <c r="G259" s="19">
        <v>6</v>
      </c>
      <c r="H259" s="19">
        <v>800</v>
      </c>
      <c r="I259" s="24">
        <v>0.12</v>
      </c>
      <c r="J259" s="28">
        <f>Table2[[#This Row],[Quantity]]*Table2[[#This Row],[Unit_Price]]</f>
        <v>4800</v>
      </c>
      <c r="K259" s="31">
        <f t="shared" si="4"/>
        <v>4224</v>
      </c>
      <c r="L259" s="31">
        <f>Table2[[#This Row],[gross sales]]-Table2[[#This Row],[net sale]]</f>
        <v>576</v>
      </c>
      <c r="M259" s="37" t="str">
        <f>TEXT(B259,"mmm")</f>
        <v>May</v>
      </c>
    </row>
    <row r="260" spans="1:13">
      <c r="A260" s="16">
        <v>1259</v>
      </c>
      <c r="B260" s="15">
        <v>45748</v>
      </c>
      <c r="C260" s="16" t="s">
        <v>35</v>
      </c>
      <c r="D260" s="16" t="s">
        <v>36</v>
      </c>
      <c r="E260" s="16" t="s">
        <v>22</v>
      </c>
      <c r="F260" s="16" t="s">
        <v>23</v>
      </c>
      <c r="G260" s="16">
        <v>16</v>
      </c>
      <c r="H260" s="17">
        <v>3500</v>
      </c>
      <c r="I260" s="23">
        <v>0.1</v>
      </c>
      <c r="J260" s="28">
        <f>Table2[[#This Row],[Quantity]]*Table2[[#This Row],[Unit_Price]]</f>
        <v>56000</v>
      </c>
      <c r="K260" s="31">
        <f t="shared" si="4"/>
        <v>50400</v>
      </c>
      <c r="L260" s="31">
        <f>Table2[[#This Row],[gross sales]]-Table2[[#This Row],[net sale]]</f>
        <v>5600</v>
      </c>
      <c r="M260" s="36" t="str">
        <f>TEXT(B260,"mmm")</f>
        <v>Apr</v>
      </c>
    </row>
    <row r="261" spans="1:13">
      <c r="A261" s="19">
        <v>1260</v>
      </c>
      <c r="B261" s="18">
        <v>45979</v>
      </c>
      <c r="C261" s="19" t="s">
        <v>33</v>
      </c>
      <c r="D261" s="19" t="s">
        <v>10</v>
      </c>
      <c r="E261" s="19" t="s">
        <v>14</v>
      </c>
      <c r="F261" s="19" t="s">
        <v>20</v>
      </c>
      <c r="G261" s="19">
        <v>5</v>
      </c>
      <c r="H261" s="20">
        <v>2500</v>
      </c>
      <c r="I261" s="24">
        <v>0.1</v>
      </c>
      <c r="J261" s="28">
        <f>Table2[[#This Row],[Quantity]]*Table2[[#This Row],[Unit_Price]]</f>
        <v>12500</v>
      </c>
      <c r="K261" s="31">
        <f t="shared" si="4"/>
        <v>11250</v>
      </c>
      <c r="L261" s="31">
        <f>Table2[[#This Row],[gross sales]]-Table2[[#This Row],[net sale]]</f>
        <v>1250</v>
      </c>
      <c r="M261" s="37" t="str">
        <f>TEXT(B261,"mmm")</f>
        <v>Nov</v>
      </c>
    </row>
    <row r="262" spans="1:13">
      <c r="A262" s="16">
        <v>1261</v>
      </c>
      <c r="B262" s="15">
        <v>45884</v>
      </c>
      <c r="C262" s="16" t="s">
        <v>29</v>
      </c>
      <c r="D262" s="16" t="s">
        <v>30</v>
      </c>
      <c r="E262" s="16" t="s">
        <v>14</v>
      </c>
      <c r="F262" s="16" t="s">
        <v>23</v>
      </c>
      <c r="G262" s="16">
        <v>10</v>
      </c>
      <c r="H262" s="16">
        <v>250</v>
      </c>
      <c r="I262" s="23">
        <v>0.08</v>
      </c>
      <c r="J262" s="28">
        <f>Table2[[#This Row],[Quantity]]*Table2[[#This Row],[Unit_Price]]</f>
        <v>2500</v>
      </c>
      <c r="K262" s="31">
        <f t="shared" si="4"/>
        <v>2300</v>
      </c>
      <c r="L262" s="31">
        <f>Table2[[#This Row],[gross sales]]-Table2[[#This Row],[net sale]]</f>
        <v>200</v>
      </c>
      <c r="M262" s="36" t="str">
        <f>TEXT(B262,"mmm")</f>
        <v>Aug</v>
      </c>
    </row>
    <row r="263" spans="1:13">
      <c r="A263" s="19">
        <v>1262</v>
      </c>
      <c r="B263" s="18">
        <v>45917</v>
      </c>
      <c r="C263" s="19" t="s">
        <v>9</v>
      </c>
      <c r="D263" s="19" t="s">
        <v>10</v>
      </c>
      <c r="E263" s="19" t="s">
        <v>22</v>
      </c>
      <c r="F263" s="19" t="s">
        <v>18</v>
      </c>
      <c r="G263" s="19">
        <v>10</v>
      </c>
      <c r="H263" s="20">
        <v>18000</v>
      </c>
      <c r="I263" s="24">
        <v>0.1</v>
      </c>
      <c r="J263" s="28">
        <f>Table2[[#This Row],[Quantity]]*Table2[[#This Row],[Unit_Price]]</f>
        <v>180000</v>
      </c>
      <c r="K263" s="31">
        <f t="shared" si="4"/>
        <v>162000</v>
      </c>
      <c r="L263" s="31">
        <f>Table2[[#This Row],[gross sales]]-Table2[[#This Row],[net sale]]</f>
        <v>18000</v>
      </c>
      <c r="M263" s="37" t="str">
        <f>TEXT(B263,"mmm")</f>
        <v>Sep</v>
      </c>
    </row>
    <row r="264" spans="1:13">
      <c r="A264" s="16">
        <v>1263</v>
      </c>
      <c r="B264" s="15">
        <v>45687</v>
      </c>
      <c r="C264" s="16" t="s">
        <v>33</v>
      </c>
      <c r="D264" s="16" t="s">
        <v>10</v>
      </c>
      <c r="E264" s="16" t="s">
        <v>14</v>
      </c>
      <c r="F264" s="16" t="s">
        <v>15</v>
      </c>
      <c r="G264" s="16">
        <v>10</v>
      </c>
      <c r="H264" s="17">
        <v>2500</v>
      </c>
      <c r="I264" s="23">
        <v>0</v>
      </c>
      <c r="J264" s="28">
        <f>Table2[[#This Row],[Quantity]]*Table2[[#This Row],[Unit_Price]]</f>
        <v>25000</v>
      </c>
      <c r="K264" s="31">
        <f t="shared" si="4"/>
        <v>25000</v>
      </c>
      <c r="L264" s="31">
        <f>Table2[[#This Row],[gross sales]]-Table2[[#This Row],[net sale]]</f>
        <v>0</v>
      </c>
      <c r="M264" s="36" t="str">
        <f>TEXT(B264,"mmm")</f>
        <v>Jan</v>
      </c>
    </row>
    <row r="265" spans="1:13">
      <c r="A265" s="19">
        <v>1264</v>
      </c>
      <c r="B265" s="18">
        <v>45894</v>
      </c>
      <c r="C265" s="19" t="s">
        <v>28</v>
      </c>
      <c r="D265" s="19" t="s">
        <v>26</v>
      </c>
      <c r="E265" s="19" t="s">
        <v>14</v>
      </c>
      <c r="F265" s="19" t="s">
        <v>20</v>
      </c>
      <c r="G265" s="19">
        <v>18</v>
      </c>
      <c r="H265" s="20">
        <v>9000</v>
      </c>
      <c r="I265" s="24">
        <v>0.15</v>
      </c>
      <c r="J265" s="28">
        <f>Table2[[#This Row],[Quantity]]*Table2[[#This Row],[Unit_Price]]</f>
        <v>162000</v>
      </c>
      <c r="K265" s="31">
        <f t="shared" si="4"/>
        <v>137700</v>
      </c>
      <c r="L265" s="31">
        <f>Table2[[#This Row],[gross sales]]-Table2[[#This Row],[net sale]]</f>
        <v>24300</v>
      </c>
      <c r="M265" s="37" t="str">
        <f>TEXT(B265,"mmm")</f>
        <v>Aug</v>
      </c>
    </row>
    <row r="266" spans="1:13">
      <c r="A266" s="16">
        <v>1265</v>
      </c>
      <c r="B266" s="15">
        <v>45950</v>
      </c>
      <c r="C266" s="16" t="s">
        <v>29</v>
      </c>
      <c r="D266" s="16" t="s">
        <v>30</v>
      </c>
      <c r="E266" s="16" t="s">
        <v>22</v>
      </c>
      <c r="F266" s="16" t="s">
        <v>32</v>
      </c>
      <c r="G266" s="16">
        <v>7</v>
      </c>
      <c r="H266" s="16">
        <v>250</v>
      </c>
      <c r="I266" s="23">
        <v>0.08</v>
      </c>
      <c r="J266" s="28">
        <f>Table2[[#This Row],[Quantity]]*Table2[[#This Row],[Unit_Price]]</f>
        <v>1750</v>
      </c>
      <c r="K266" s="31">
        <f t="shared" si="4"/>
        <v>1610</v>
      </c>
      <c r="L266" s="31">
        <f>Table2[[#This Row],[gross sales]]-Table2[[#This Row],[net sale]]</f>
        <v>140</v>
      </c>
      <c r="M266" s="36" t="str">
        <f>TEXT(B266,"mmm")</f>
        <v>Oct</v>
      </c>
    </row>
    <row r="267" spans="1:13">
      <c r="A267" s="19">
        <v>1266</v>
      </c>
      <c r="B267" s="18">
        <v>45689</v>
      </c>
      <c r="C267" s="19" t="s">
        <v>34</v>
      </c>
      <c r="D267" s="19" t="s">
        <v>26</v>
      </c>
      <c r="E267" s="19" t="s">
        <v>14</v>
      </c>
      <c r="F267" s="19" t="s">
        <v>32</v>
      </c>
      <c r="G267" s="19">
        <v>4</v>
      </c>
      <c r="H267" s="20">
        <v>15000</v>
      </c>
      <c r="I267" s="24">
        <v>0.08</v>
      </c>
      <c r="J267" s="28">
        <f>Table2[[#This Row],[Quantity]]*Table2[[#This Row],[Unit_Price]]</f>
        <v>60000</v>
      </c>
      <c r="K267" s="31">
        <f t="shared" si="4"/>
        <v>55200</v>
      </c>
      <c r="L267" s="31">
        <f>Table2[[#This Row],[gross sales]]-Table2[[#This Row],[net sale]]</f>
        <v>4800</v>
      </c>
      <c r="M267" s="37" t="str">
        <f>TEXT(B267,"mmm")</f>
        <v>Feb</v>
      </c>
    </row>
    <row r="268" spans="1:13">
      <c r="A268" s="16">
        <v>1267</v>
      </c>
      <c r="B268" s="15">
        <v>45678</v>
      </c>
      <c r="C268" s="16" t="s">
        <v>19</v>
      </c>
      <c r="D268" s="16" t="s">
        <v>10</v>
      </c>
      <c r="E268" s="16" t="s">
        <v>17</v>
      </c>
      <c r="F268" s="16" t="s">
        <v>23</v>
      </c>
      <c r="G268" s="16">
        <v>15</v>
      </c>
      <c r="H268" s="16">
        <v>800</v>
      </c>
      <c r="I268" s="23">
        <v>0.1</v>
      </c>
      <c r="J268" s="28">
        <f>Table2[[#This Row],[Quantity]]*Table2[[#This Row],[Unit_Price]]</f>
        <v>12000</v>
      </c>
      <c r="K268" s="31">
        <f t="shared" si="4"/>
        <v>10800</v>
      </c>
      <c r="L268" s="31">
        <f>Table2[[#This Row],[gross sales]]-Table2[[#This Row],[net sale]]</f>
        <v>1200</v>
      </c>
      <c r="M268" s="36" t="str">
        <f>TEXT(B268,"mmm")</f>
        <v>Jan</v>
      </c>
    </row>
    <row r="269" spans="1:13">
      <c r="A269" s="19">
        <v>1268</v>
      </c>
      <c r="B269" s="18">
        <v>45848</v>
      </c>
      <c r="C269" s="19" t="s">
        <v>37</v>
      </c>
      <c r="D269" s="19" t="s">
        <v>36</v>
      </c>
      <c r="E269" s="19" t="s">
        <v>22</v>
      </c>
      <c r="F269" s="19" t="s">
        <v>23</v>
      </c>
      <c r="G269" s="19">
        <v>10</v>
      </c>
      <c r="H269" s="20">
        <v>1800</v>
      </c>
      <c r="I269" s="24">
        <v>0.1</v>
      </c>
      <c r="J269" s="28">
        <f>Table2[[#This Row],[Quantity]]*Table2[[#This Row],[Unit_Price]]</f>
        <v>18000</v>
      </c>
      <c r="K269" s="31">
        <f t="shared" si="4"/>
        <v>16200</v>
      </c>
      <c r="L269" s="31">
        <f>Table2[[#This Row],[gross sales]]-Table2[[#This Row],[net sale]]</f>
        <v>1800</v>
      </c>
      <c r="M269" s="37" t="str">
        <f>TEXT(B269,"mmm")</f>
        <v>Jul</v>
      </c>
    </row>
    <row r="270" spans="1:13">
      <c r="A270" s="16">
        <v>1269</v>
      </c>
      <c r="B270" s="15">
        <v>46005</v>
      </c>
      <c r="C270" s="16" t="s">
        <v>28</v>
      </c>
      <c r="D270" s="16" t="s">
        <v>26</v>
      </c>
      <c r="E270" s="16" t="s">
        <v>11</v>
      </c>
      <c r="F270" s="16" t="s">
        <v>24</v>
      </c>
      <c r="G270" s="16">
        <v>2</v>
      </c>
      <c r="H270" s="17">
        <v>9000</v>
      </c>
      <c r="I270" s="23">
        <v>0.15</v>
      </c>
      <c r="J270" s="28">
        <f>Table2[[#This Row],[Quantity]]*Table2[[#This Row],[Unit_Price]]</f>
        <v>18000</v>
      </c>
      <c r="K270" s="31">
        <f t="shared" si="4"/>
        <v>15300</v>
      </c>
      <c r="L270" s="31">
        <f>Table2[[#This Row],[gross sales]]-Table2[[#This Row],[net sale]]</f>
        <v>2700</v>
      </c>
      <c r="M270" s="36" t="str">
        <f>TEXT(B270,"mmm")</f>
        <v>Dec</v>
      </c>
    </row>
    <row r="271" spans="1:13">
      <c r="A271" s="19">
        <v>1270</v>
      </c>
      <c r="B271" s="18">
        <v>45826</v>
      </c>
      <c r="C271" s="19" t="s">
        <v>9</v>
      </c>
      <c r="D271" s="19" t="s">
        <v>10</v>
      </c>
      <c r="E271" s="19" t="s">
        <v>22</v>
      </c>
      <c r="F271" s="19" t="s">
        <v>27</v>
      </c>
      <c r="G271" s="19">
        <v>18</v>
      </c>
      <c r="H271" s="20">
        <v>18000</v>
      </c>
      <c r="I271" s="24">
        <v>0.15</v>
      </c>
      <c r="J271" s="28">
        <f>Table2[[#This Row],[Quantity]]*Table2[[#This Row],[Unit_Price]]</f>
        <v>324000</v>
      </c>
      <c r="K271" s="31">
        <f t="shared" si="4"/>
        <v>275400</v>
      </c>
      <c r="L271" s="31">
        <f>Table2[[#This Row],[gross sales]]-Table2[[#This Row],[net sale]]</f>
        <v>48600</v>
      </c>
      <c r="M271" s="37" t="str">
        <f>TEXT(B271,"mmm")</f>
        <v>Jun</v>
      </c>
    </row>
    <row r="272" spans="1:13">
      <c r="A272" s="16">
        <v>1271</v>
      </c>
      <c r="B272" s="15">
        <v>45787</v>
      </c>
      <c r="C272" s="16" t="s">
        <v>39</v>
      </c>
      <c r="D272" s="16" t="s">
        <v>30</v>
      </c>
      <c r="E272" s="16" t="s">
        <v>11</v>
      </c>
      <c r="F272" s="16" t="s">
        <v>24</v>
      </c>
      <c r="G272" s="16">
        <v>20</v>
      </c>
      <c r="H272" s="16">
        <v>180</v>
      </c>
      <c r="I272" s="23">
        <v>0.05</v>
      </c>
      <c r="J272" s="28">
        <f>Table2[[#This Row],[Quantity]]*Table2[[#This Row],[Unit_Price]]</f>
        <v>3600</v>
      </c>
      <c r="K272" s="31">
        <f t="shared" si="4"/>
        <v>3420</v>
      </c>
      <c r="L272" s="31">
        <f>Table2[[#This Row],[gross sales]]-Table2[[#This Row],[net sale]]</f>
        <v>180</v>
      </c>
      <c r="M272" s="36" t="str">
        <f>TEXT(B272,"mmm")</f>
        <v>May</v>
      </c>
    </row>
    <row r="273" spans="1:13">
      <c r="A273" s="19">
        <v>1272</v>
      </c>
      <c r="B273" s="18">
        <v>45956</v>
      </c>
      <c r="C273" s="19" t="s">
        <v>29</v>
      </c>
      <c r="D273" s="19" t="s">
        <v>30</v>
      </c>
      <c r="E273" s="19" t="s">
        <v>11</v>
      </c>
      <c r="F273" s="19" t="s">
        <v>15</v>
      </c>
      <c r="G273" s="19">
        <v>5</v>
      </c>
      <c r="H273" s="19">
        <v>250</v>
      </c>
      <c r="I273" s="24">
        <v>0.08</v>
      </c>
      <c r="J273" s="28">
        <f>Table2[[#This Row],[Quantity]]*Table2[[#This Row],[Unit_Price]]</f>
        <v>1250</v>
      </c>
      <c r="K273" s="31">
        <f t="shared" si="4"/>
        <v>1150</v>
      </c>
      <c r="L273" s="31">
        <f>Table2[[#This Row],[gross sales]]-Table2[[#This Row],[net sale]]</f>
        <v>100</v>
      </c>
      <c r="M273" s="37" t="str">
        <f>TEXT(B273,"mmm")</f>
        <v>Oct</v>
      </c>
    </row>
    <row r="274" spans="1:13">
      <c r="A274" s="16">
        <v>1273</v>
      </c>
      <c r="B274" s="15">
        <v>45724</v>
      </c>
      <c r="C274" s="16" t="s">
        <v>28</v>
      </c>
      <c r="D274" s="16" t="s">
        <v>26</v>
      </c>
      <c r="E274" s="16" t="s">
        <v>22</v>
      </c>
      <c r="F274" s="16" t="s">
        <v>23</v>
      </c>
      <c r="G274" s="16">
        <v>3</v>
      </c>
      <c r="H274" s="17">
        <v>9000</v>
      </c>
      <c r="I274" s="23">
        <v>0.08</v>
      </c>
      <c r="J274" s="28">
        <f>Table2[[#This Row],[Quantity]]*Table2[[#This Row],[Unit_Price]]</f>
        <v>27000</v>
      </c>
      <c r="K274" s="31">
        <f t="shared" si="4"/>
        <v>24840</v>
      </c>
      <c r="L274" s="31">
        <f>Table2[[#This Row],[gross sales]]-Table2[[#This Row],[net sale]]</f>
        <v>2160</v>
      </c>
      <c r="M274" s="36" t="str">
        <f>TEXT(B274,"mmm")</f>
        <v>Mar</v>
      </c>
    </row>
    <row r="275" spans="1:13">
      <c r="A275" s="19">
        <v>1274</v>
      </c>
      <c r="B275" s="18">
        <v>45723</v>
      </c>
      <c r="C275" s="19" t="s">
        <v>29</v>
      </c>
      <c r="D275" s="19" t="s">
        <v>30</v>
      </c>
      <c r="E275" s="19" t="s">
        <v>22</v>
      </c>
      <c r="F275" s="19" t="s">
        <v>23</v>
      </c>
      <c r="G275" s="19">
        <v>17</v>
      </c>
      <c r="H275" s="19">
        <v>250</v>
      </c>
      <c r="I275" s="24">
        <v>0</v>
      </c>
      <c r="J275" s="28">
        <f>Table2[[#This Row],[Quantity]]*Table2[[#This Row],[Unit_Price]]</f>
        <v>4250</v>
      </c>
      <c r="K275" s="31">
        <f t="shared" si="4"/>
        <v>4250</v>
      </c>
      <c r="L275" s="31">
        <f>Table2[[#This Row],[gross sales]]-Table2[[#This Row],[net sale]]</f>
        <v>0</v>
      </c>
      <c r="M275" s="37" t="str">
        <f>TEXT(B275,"mmm")</f>
        <v>Mar</v>
      </c>
    </row>
    <row r="276" spans="1:13">
      <c r="A276" s="16">
        <v>1275</v>
      </c>
      <c r="B276" s="15">
        <v>45667</v>
      </c>
      <c r="C276" s="16" t="s">
        <v>33</v>
      </c>
      <c r="D276" s="16" t="s">
        <v>10</v>
      </c>
      <c r="E276" s="16" t="s">
        <v>17</v>
      </c>
      <c r="F276" s="16" t="s">
        <v>23</v>
      </c>
      <c r="G276" s="16">
        <v>10</v>
      </c>
      <c r="H276" s="17">
        <v>2500</v>
      </c>
      <c r="I276" s="23">
        <v>0.05</v>
      </c>
      <c r="J276" s="28">
        <f>Table2[[#This Row],[Quantity]]*Table2[[#This Row],[Unit_Price]]</f>
        <v>25000</v>
      </c>
      <c r="K276" s="31">
        <f t="shared" si="4"/>
        <v>23750</v>
      </c>
      <c r="L276" s="31">
        <f>Table2[[#This Row],[gross sales]]-Table2[[#This Row],[net sale]]</f>
        <v>1250</v>
      </c>
      <c r="M276" s="36" t="str">
        <f>TEXT(B276,"mmm")</f>
        <v>Jan</v>
      </c>
    </row>
    <row r="277" spans="1:13">
      <c r="A277" s="19">
        <v>1276</v>
      </c>
      <c r="B277" s="18">
        <v>45906</v>
      </c>
      <c r="C277" s="19" t="s">
        <v>19</v>
      </c>
      <c r="D277" s="19" t="s">
        <v>10</v>
      </c>
      <c r="E277" s="19" t="s">
        <v>17</v>
      </c>
      <c r="F277" s="19" t="s">
        <v>24</v>
      </c>
      <c r="G277" s="19">
        <v>8</v>
      </c>
      <c r="H277" s="19">
        <v>800</v>
      </c>
      <c r="I277" s="24">
        <v>0.05</v>
      </c>
      <c r="J277" s="28">
        <f>Table2[[#This Row],[Quantity]]*Table2[[#This Row],[Unit_Price]]</f>
        <v>6400</v>
      </c>
      <c r="K277" s="31">
        <f t="shared" si="4"/>
        <v>6080</v>
      </c>
      <c r="L277" s="31">
        <f>Table2[[#This Row],[gross sales]]-Table2[[#This Row],[net sale]]</f>
        <v>320</v>
      </c>
      <c r="M277" s="37" t="str">
        <f>TEXT(B277,"mmm")</f>
        <v>Sep</v>
      </c>
    </row>
    <row r="278" spans="1:13">
      <c r="A278" s="16">
        <v>1277</v>
      </c>
      <c r="B278" s="15">
        <v>45809</v>
      </c>
      <c r="C278" s="16" t="s">
        <v>38</v>
      </c>
      <c r="D278" s="16" t="s">
        <v>10</v>
      </c>
      <c r="E278" s="16" t="s">
        <v>14</v>
      </c>
      <c r="F278" s="16" t="s">
        <v>23</v>
      </c>
      <c r="G278" s="16">
        <v>4</v>
      </c>
      <c r="H278" s="17">
        <v>42000</v>
      </c>
      <c r="I278" s="23">
        <v>0.12</v>
      </c>
      <c r="J278" s="28">
        <f>Table2[[#This Row],[Quantity]]*Table2[[#This Row],[Unit_Price]]</f>
        <v>168000</v>
      </c>
      <c r="K278" s="31">
        <f t="shared" si="4"/>
        <v>147840</v>
      </c>
      <c r="L278" s="31">
        <f>Table2[[#This Row],[gross sales]]-Table2[[#This Row],[net sale]]</f>
        <v>20160</v>
      </c>
      <c r="M278" s="36" t="str">
        <f>TEXT(B278,"mmm")</f>
        <v>Jun</v>
      </c>
    </row>
    <row r="279" spans="1:13">
      <c r="A279" s="19">
        <v>1278</v>
      </c>
      <c r="B279" s="18">
        <v>45974</v>
      </c>
      <c r="C279" s="19" t="s">
        <v>13</v>
      </c>
      <c r="D279" s="19" t="s">
        <v>10</v>
      </c>
      <c r="E279" s="19" t="s">
        <v>17</v>
      </c>
      <c r="F279" s="19" t="s">
        <v>32</v>
      </c>
      <c r="G279" s="19">
        <v>20</v>
      </c>
      <c r="H279" s="20">
        <v>1200</v>
      </c>
      <c r="I279" s="24">
        <v>0.1</v>
      </c>
      <c r="J279" s="28">
        <f>Table2[[#This Row],[Quantity]]*Table2[[#This Row],[Unit_Price]]</f>
        <v>24000</v>
      </c>
      <c r="K279" s="31">
        <f t="shared" si="4"/>
        <v>21600</v>
      </c>
      <c r="L279" s="31">
        <f>Table2[[#This Row],[gross sales]]-Table2[[#This Row],[net sale]]</f>
        <v>2400</v>
      </c>
      <c r="M279" s="37" t="str">
        <f>TEXT(B279,"mmm")</f>
        <v>Nov</v>
      </c>
    </row>
    <row r="280" spans="1:13">
      <c r="A280" s="16">
        <v>1279</v>
      </c>
      <c r="B280" s="15">
        <v>45750</v>
      </c>
      <c r="C280" s="16" t="s">
        <v>38</v>
      </c>
      <c r="D280" s="16" t="s">
        <v>10</v>
      </c>
      <c r="E280" s="16" t="s">
        <v>22</v>
      </c>
      <c r="F280" s="16" t="s">
        <v>18</v>
      </c>
      <c r="G280" s="16">
        <v>20</v>
      </c>
      <c r="H280" s="17">
        <v>42000</v>
      </c>
      <c r="I280" s="23">
        <v>0.05</v>
      </c>
      <c r="J280" s="28">
        <f>Table2[[#This Row],[Quantity]]*Table2[[#This Row],[Unit_Price]]</f>
        <v>840000</v>
      </c>
      <c r="K280" s="31">
        <f t="shared" si="4"/>
        <v>798000</v>
      </c>
      <c r="L280" s="31">
        <f>Table2[[#This Row],[gross sales]]-Table2[[#This Row],[net sale]]</f>
        <v>42000</v>
      </c>
      <c r="M280" s="36" t="str">
        <f>TEXT(B280,"mmm")</f>
        <v>Apr</v>
      </c>
    </row>
    <row r="281" spans="1:13">
      <c r="A281" s="19">
        <v>1280</v>
      </c>
      <c r="B281" s="18">
        <v>45868</v>
      </c>
      <c r="C281" s="19" t="s">
        <v>33</v>
      </c>
      <c r="D281" s="19" t="s">
        <v>10</v>
      </c>
      <c r="E281" s="19" t="s">
        <v>11</v>
      </c>
      <c r="F281" s="19" t="s">
        <v>20</v>
      </c>
      <c r="G281" s="19">
        <v>8</v>
      </c>
      <c r="H281" s="20">
        <v>2500</v>
      </c>
      <c r="I281" s="24">
        <v>0.1</v>
      </c>
      <c r="J281" s="28">
        <f>Table2[[#This Row],[Quantity]]*Table2[[#This Row],[Unit_Price]]</f>
        <v>20000</v>
      </c>
      <c r="K281" s="31">
        <f t="shared" si="4"/>
        <v>18000</v>
      </c>
      <c r="L281" s="31">
        <f>Table2[[#This Row],[gross sales]]-Table2[[#This Row],[net sale]]</f>
        <v>2000</v>
      </c>
      <c r="M281" s="37" t="str">
        <f>TEXT(B281,"mmm")</f>
        <v>Jul</v>
      </c>
    </row>
    <row r="282" spans="1:13">
      <c r="A282" s="16">
        <v>1281</v>
      </c>
      <c r="B282" s="15">
        <v>45777</v>
      </c>
      <c r="C282" s="16" t="s">
        <v>25</v>
      </c>
      <c r="D282" s="16" t="s">
        <v>26</v>
      </c>
      <c r="E282" s="16" t="s">
        <v>22</v>
      </c>
      <c r="F282" s="16" t="s">
        <v>12</v>
      </c>
      <c r="G282" s="16">
        <v>8</v>
      </c>
      <c r="H282" s="17">
        <v>11000</v>
      </c>
      <c r="I282" s="23">
        <v>0.08</v>
      </c>
      <c r="J282" s="28">
        <f>Table2[[#This Row],[Quantity]]*Table2[[#This Row],[Unit_Price]]</f>
        <v>88000</v>
      </c>
      <c r="K282" s="31">
        <f t="shared" si="4"/>
        <v>80960</v>
      </c>
      <c r="L282" s="31">
        <f>Table2[[#This Row],[gross sales]]-Table2[[#This Row],[net sale]]</f>
        <v>7040</v>
      </c>
      <c r="M282" s="36" t="str">
        <f>TEXT(B282,"mmm")</f>
        <v>Apr</v>
      </c>
    </row>
    <row r="283" spans="1:13">
      <c r="A283" s="19">
        <v>1282</v>
      </c>
      <c r="B283" s="18">
        <v>45846</v>
      </c>
      <c r="C283" s="19" t="s">
        <v>29</v>
      </c>
      <c r="D283" s="19" t="s">
        <v>30</v>
      </c>
      <c r="E283" s="19" t="s">
        <v>22</v>
      </c>
      <c r="F283" s="19" t="s">
        <v>27</v>
      </c>
      <c r="G283" s="19">
        <v>19</v>
      </c>
      <c r="H283" s="19">
        <v>250</v>
      </c>
      <c r="I283" s="24">
        <v>0.1</v>
      </c>
      <c r="J283" s="28">
        <f>Table2[[#This Row],[Quantity]]*Table2[[#This Row],[Unit_Price]]</f>
        <v>4750</v>
      </c>
      <c r="K283" s="31">
        <f t="shared" si="4"/>
        <v>4275</v>
      </c>
      <c r="L283" s="31">
        <f>Table2[[#This Row],[gross sales]]-Table2[[#This Row],[net sale]]</f>
        <v>475</v>
      </c>
      <c r="M283" s="37" t="str">
        <f>TEXT(B283,"mmm")</f>
        <v>Jul</v>
      </c>
    </row>
    <row r="284" spans="1:13">
      <c r="A284" s="16">
        <v>1283</v>
      </c>
      <c r="B284" s="15">
        <v>45853</v>
      </c>
      <c r="C284" s="16" t="s">
        <v>25</v>
      </c>
      <c r="D284" s="16" t="s">
        <v>26</v>
      </c>
      <c r="E284" s="16" t="s">
        <v>17</v>
      </c>
      <c r="F284" s="16" t="s">
        <v>12</v>
      </c>
      <c r="G284" s="16">
        <v>17</v>
      </c>
      <c r="H284" s="17">
        <v>11000</v>
      </c>
      <c r="I284" s="23">
        <v>0.1</v>
      </c>
      <c r="J284" s="28">
        <f>Table2[[#This Row],[Quantity]]*Table2[[#This Row],[Unit_Price]]</f>
        <v>187000</v>
      </c>
      <c r="K284" s="31">
        <f t="shared" si="4"/>
        <v>168300</v>
      </c>
      <c r="L284" s="31">
        <f>Table2[[#This Row],[gross sales]]-Table2[[#This Row],[net sale]]</f>
        <v>18700</v>
      </c>
      <c r="M284" s="36" t="str">
        <f>TEXT(B284,"mmm")</f>
        <v>Jul</v>
      </c>
    </row>
    <row r="285" spans="1:13">
      <c r="A285" s="19">
        <v>1284</v>
      </c>
      <c r="B285" s="18">
        <v>45967</v>
      </c>
      <c r="C285" s="19" t="s">
        <v>13</v>
      </c>
      <c r="D285" s="19" t="s">
        <v>10</v>
      </c>
      <c r="E285" s="19" t="s">
        <v>22</v>
      </c>
      <c r="F285" s="19" t="s">
        <v>23</v>
      </c>
      <c r="G285" s="19">
        <v>9</v>
      </c>
      <c r="H285" s="20">
        <v>1200</v>
      </c>
      <c r="I285" s="24">
        <v>0</v>
      </c>
      <c r="J285" s="28">
        <f>Table2[[#This Row],[Quantity]]*Table2[[#This Row],[Unit_Price]]</f>
        <v>10800</v>
      </c>
      <c r="K285" s="31">
        <f t="shared" si="4"/>
        <v>10800</v>
      </c>
      <c r="L285" s="31">
        <f>Table2[[#This Row],[gross sales]]-Table2[[#This Row],[net sale]]</f>
        <v>0</v>
      </c>
      <c r="M285" s="37" t="str">
        <f>TEXT(B285,"mmm")</f>
        <v>Nov</v>
      </c>
    </row>
    <row r="286" spans="1:13">
      <c r="A286" s="16">
        <v>1285</v>
      </c>
      <c r="B286" s="15">
        <v>45941</v>
      </c>
      <c r="C286" s="16" t="s">
        <v>37</v>
      </c>
      <c r="D286" s="16" t="s">
        <v>36</v>
      </c>
      <c r="E286" s="16" t="s">
        <v>14</v>
      </c>
      <c r="F286" s="16" t="s">
        <v>27</v>
      </c>
      <c r="G286" s="16">
        <v>4</v>
      </c>
      <c r="H286" s="17">
        <v>1800</v>
      </c>
      <c r="I286" s="23">
        <v>0.15</v>
      </c>
      <c r="J286" s="28">
        <f>Table2[[#This Row],[Quantity]]*Table2[[#This Row],[Unit_Price]]</f>
        <v>7200</v>
      </c>
      <c r="K286" s="31">
        <f t="shared" si="4"/>
        <v>6120</v>
      </c>
      <c r="L286" s="31">
        <f>Table2[[#This Row],[gross sales]]-Table2[[#This Row],[net sale]]</f>
        <v>1080</v>
      </c>
      <c r="M286" s="36" t="str">
        <f>TEXT(B286,"mmm")</f>
        <v>Oct</v>
      </c>
    </row>
    <row r="287" spans="1:13">
      <c r="A287" s="19">
        <v>1286</v>
      </c>
      <c r="B287" s="18">
        <v>45700</v>
      </c>
      <c r="C287" s="19" t="s">
        <v>35</v>
      </c>
      <c r="D287" s="19" t="s">
        <v>36</v>
      </c>
      <c r="E287" s="19" t="s">
        <v>22</v>
      </c>
      <c r="F287" s="19" t="s">
        <v>32</v>
      </c>
      <c r="G287" s="19">
        <v>6</v>
      </c>
      <c r="H287" s="20">
        <v>3500</v>
      </c>
      <c r="I287" s="24">
        <v>0.08</v>
      </c>
      <c r="J287" s="28">
        <f>Table2[[#This Row],[Quantity]]*Table2[[#This Row],[Unit_Price]]</f>
        <v>21000</v>
      </c>
      <c r="K287" s="31">
        <f t="shared" si="4"/>
        <v>19320</v>
      </c>
      <c r="L287" s="31">
        <f>Table2[[#This Row],[gross sales]]-Table2[[#This Row],[net sale]]</f>
        <v>1680</v>
      </c>
      <c r="M287" s="37" t="str">
        <f>TEXT(B287,"mmm")</f>
        <v>Feb</v>
      </c>
    </row>
    <row r="288" spans="1:13">
      <c r="A288" s="16">
        <v>1287</v>
      </c>
      <c r="B288" s="15">
        <v>45881</v>
      </c>
      <c r="C288" s="16" t="s">
        <v>9</v>
      </c>
      <c r="D288" s="16" t="s">
        <v>10</v>
      </c>
      <c r="E288" s="16" t="s">
        <v>11</v>
      </c>
      <c r="F288" s="16" t="s">
        <v>18</v>
      </c>
      <c r="G288" s="16">
        <v>8</v>
      </c>
      <c r="H288" s="17">
        <v>18000</v>
      </c>
      <c r="I288" s="23">
        <v>0.1</v>
      </c>
      <c r="J288" s="28">
        <f>Table2[[#This Row],[Quantity]]*Table2[[#This Row],[Unit_Price]]</f>
        <v>144000</v>
      </c>
      <c r="K288" s="31">
        <f t="shared" si="4"/>
        <v>129600</v>
      </c>
      <c r="L288" s="31">
        <f>Table2[[#This Row],[gross sales]]-Table2[[#This Row],[net sale]]</f>
        <v>14400</v>
      </c>
      <c r="M288" s="36" t="str">
        <f>TEXT(B288,"mmm")</f>
        <v>Aug</v>
      </c>
    </row>
    <row r="289" spans="1:13">
      <c r="A289" s="19">
        <v>1288</v>
      </c>
      <c r="B289" s="18">
        <v>45870</v>
      </c>
      <c r="C289" s="19" t="s">
        <v>16</v>
      </c>
      <c r="D289" s="19" t="s">
        <v>10</v>
      </c>
      <c r="E289" s="19" t="s">
        <v>11</v>
      </c>
      <c r="F289" s="19" t="s">
        <v>12</v>
      </c>
      <c r="G289" s="19">
        <v>13</v>
      </c>
      <c r="H289" s="20">
        <v>55000</v>
      </c>
      <c r="I289" s="24">
        <v>0.12</v>
      </c>
      <c r="J289" s="28">
        <f>Table2[[#This Row],[Quantity]]*Table2[[#This Row],[Unit_Price]]</f>
        <v>715000</v>
      </c>
      <c r="K289" s="31">
        <f t="shared" si="4"/>
        <v>629200</v>
      </c>
      <c r="L289" s="31">
        <f>Table2[[#This Row],[gross sales]]-Table2[[#This Row],[net sale]]</f>
        <v>85800</v>
      </c>
      <c r="M289" s="37" t="str">
        <f>TEXT(B289,"mmm")</f>
        <v>Aug</v>
      </c>
    </row>
    <row r="290" spans="1:13">
      <c r="A290" s="16">
        <v>1289</v>
      </c>
      <c r="B290" s="15">
        <v>45855</v>
      </c>
      <c r="C290" s="16" t="s">
        <v>9</v>
      </c>
      <c r="D290" s="16" t="s">
        <v>10</v>
      </c>
      <c r="E290" s="16" t="s">
        <v>14</v>
      </c>
      <c r="F290" s="16" t="s">
        <v>23</v>
      </c>
      <c r="G290" s="16">
        <v>12</v>
      </c>
      <c r="H290" s="17">
        <v>18000</v>
      </c>
      <c r="I290" s="23">
        <v>0.05</v>
      </c>
      <c r="J290" s="28">
        <f>Table2[[#This Row],[Quantity]]*Table2[[#This Row],[Unit_Price]]</f>
        <v>216000</v>
      </c>
      <c r="K290" s="31">
        <f t="shared" si="4"/>
        <v>205200</v>
      </c>
      <c r="L290" s="31">
        <f>Table2[[#This Row],[gross sales]]-Table2[[#This Row],[net sale]]</f>
        <v>10800</v>
      </c>
      <c r="M290" s="36" t="str">
        <f>TEXT(B290,"mmm")</f>
        <v>Jul</v>
      </c>
    </row>
    <row r="291" spans="1:13">
      <c r="A291" s="19">
        <v>1290</v>
      </c>
      <c r="B291" s="18">
        <v>45708</v>
      </c>
      <c r="C291" s="19" t="s">
        <v>38</v>
      </c>
      <c r="D291" s="19" t="s">
        <v>10</v>
      </c>
      <c r="E291" s="19" t="s">
        <v>17</v>
      </c>
      <c r="F291" s="19" t="s">
        <v>18</v>
      </c>
      <c r="G291" s="19">
        <v>11</v>
      </c>
      <c r="H291" s="20">
        <v>42000</v>
      </c>
      <c r="I291" s="24">
        <v>0.05</v>
      </c>
      <c r="J291" s="28">
        <f>Table2[[#This Row],[Quantity]]*Table2[[#This Row],[Unit_Price]]</f>
        <v>462000</v>
      </c>
      <c r="K291" s="31">
        <f t="shared" si="4"/>
        <v>438900</v>
      </c>
      <c r="L291" s="31">
        <f>Table2[[#This Row],[gross sales]]-Table2[[#This Row],[net sale]]</f>
        <v>23100</v>
      </c>
      <c r="M291" s="37" t="str">
        <f>TEXT(B291,"mmm")</f>
        <v>Feb</v>
      </c>
    </row>
    <row r="292" spans="1:13">
      <c r="A292" s="16">
        <v>1291</v>
      </c>
      <c r="B292" s="15">
        <v>45804</v>
      </c>
      <c r="C292" s="16" t="s">
        <v>37</v>
      </c>
      <c r="D292" s="16" t="s">
        <v>36</v>
      </c>
      <c r="E292" s="16" t="s">
        <v>17</v>
      </c>
      <c r="F292" s="16" t="s">
        <v>20</v>
      </c>
      <c r="G292" s="16">
        <v>16</v>
      </c>
      <c r="H292" s="17">
        <v>1800</v>
      </c>
      <c r="I292" s="23">
        <v>0.15</v>
      </c>
      <c r="J292" s="28">
        <f>Table2[[#This Row],[Quantity]]*Table2[[#This Row],[Unit_Price]]</f>
        <v>28800</v>
      </c>
      <c r="K292" s="31">
        <f t="shared" si="4"/>
        <v>24480</v>
      </c>
      <c r="L292" s="31">
        <f>Table2[[#This Row],[gross sales]]-Table2[[#This Row],[net sale]]</f>
        <v>4320</v>
      </c>
      <c r="M292" s="36" t="str">
        <f>TEXT(B292,"mmm")</f>
        <v>May</v>
      </c>
    </row>
    <row r="293" spans="1:13">
      <c r="A293" s="19">
        <v>1292</v>
      </c>
      <c r="B293" s="18">
        <v>45887</v>
      </c>
      <c r="C293" s="19" t="s">
        <v>28</v>
      </c>
      <c r="D293" s="19" t="s">
        <v>26</v>
      </c>
      <c r="E293" s="19" t="s">
        <v>14</v>
      </c>
      <c r="F293" s="19" t="s">
        <v>27</v>
      </c>
      <c r="G293" s="19">
        <v>1</v>
      </c>
      <c r="H293" s="20">
        <v>9000</v>
      </c>
      <c r="I293" s="24">
        <v>0</v>
      </c>
      <c r="J293" s="28">
        <f>Table2[[#This Row],[Quantity]]*Table2[[#This Row],[Unit_Price]]</f>
        <v>9000</v>
      </c>
      <c r="K293" s="31">
        <f t="shared" si="4"/>
        <v>9000</v>
      </c>
      <c r="L293" s="31">
        <f>Table2[[#This Row],[gross sales]]-Table2[[#This Row],[net sale]]</f>
        <v>0</v>
      </c>
      <c r="M293" s="37" t="str">
        <f>TEXT(B293,"mmm")</f>
        <v>Aug</v>
      </c>
    </row>
    <row r="294" spans="1:13">
      <c r="A294" s="16">
        <v>1293</v>
      </c>
      <c r="B294" s="15">
        <v>45768</v>
      </c>
      <c r="C294" s="16" t="s">
        <v>38</v>
      </c>
      <c r="D294" s="16" t="s">
        <v>10</v>
      </c>
      <c r="E294" s="16" t="s">
        <v>22</v>
      </c>
      <c r="F294" s="16" t="s">
        <v>24</v>
      </c>
      <c r="G294" s="16">
        <v>5</v>
      </c>
      <c r="H294" s="17">
        <v>42000</v>
      </c>
      <c r="I294" s="23">
        <v>0.12</v>
      </c>
      <c r="J294" s="28">
        <f>Table2[[#This Row],[Quantity]]*Table2[[#This Row],[Unit_Price]]</f>
        <v>210000</v>
      </c>
      <c r="K294" s="31">
        <f t="shared" si="4"/>
        <v>184800</v>
      </c>
      <c r="L294" s="31">
        <f>Table2[[#This Row],[gross sales]]-Table2[[#This Row],[net sale]]</f>
        <v>25200</v>
      </c>
      <c r="M294" s="36" t="str">
        <f>TEXT(B294,"mmm")</f>
        <v>Apr</v>
      </c>
    </row>
    <row r="295" spans="1:13">
      <c r="A295" s="19">
        <v>1294</v>
      </c>
      <c r="B295" s="18">
        <v>45805</v>
      </c>
      <c r="C295" s="19" t="s">
        <v>19</v>
      </c>
      <c r="D295" s="19" t="s">
        <v>10</v>
      </c>
      <c r="E295" s="19" t="s">
        <v>14</v>
      </c>
      <c r="F295" s="19" t="s">
        <v>12</v>
      </c>
      <c r="G295" s="19">
        <v>10</v>
      </c>
      <c r="H295" s="19">
        <v>800</v>
      </c>
      <c r="I295" s="24">
        <v>0</v>
      </c>
      <c r="J295" s="28">
        <f>Table2[[#This Row],[Quantity]]*Table2[[#This Row],[Unit_Price]]</f>
        <v>8000</v>
      </c>
      <c r="K295" s="31">
        <f t="shared" si="4"/>
        <v>8000</v>
      </c>
      <c r="L295" s="31">
        <f>Table2[[#This Row],[gross sales]]-Table2[[#This Row],[net sale]]</f>
        <v>0</v>
      </c>
      <c r="M295" s="37" t="str">
        <f>TEXT(B295,"mmm")</f>
        <v>May</v>
      </c>
    </row>
    <row r="296" spans="1:13">
      <c r="A296" s="16">
        <v>1295</v>
      </c>
      <c r="B296" s="15">
        <v>45872</v>
      </c>
      <c r="C296" s="16" t="s">
        <v>29</v>
      </c>
      <c r="D296" s="16" t="s">
        <v>30</v>
      </c>
      <c r="E296" s="16" t="s">
        <v>14</v>
      </c>
      <c r="F296" s="16" t="s">
        <v>24</v>
      </c>
      <c r="G296" s="16">
        <v>20</v>
      </c>
      <c r="H296" s="16">
        <v>250</v>
      </c>
      <c r="I296" s="23">
        <v>0.1</v>
      </c>
      <c r="J296" s="28">
        <f>Table2[[#This Row],[Quantity]]*Table2[[#This Row],[Unit_Price]]</f>
        <v>5000</v>
      </c>
      <c r="K296" s="31">
        <f t="shared" si="4"/>
        <v>4500</v>
      </c>
      <c r="L296" s="31">
        <f>Table2[[#This Row],[gross sales]]-Table2[[#This Row],[net sale]]</f>
        <v>500</v>
      </c>
      <c r="M296" s="36" t="str">
        <f>TEXT(B296,"mmm")</f>
        <v>Aug</v>
      </c>
    </row>
    <row r="297" spans="1:13">
      <c r="A297" s="19">
        <v>1296</v>
      </c>
      <c r="B297" s="18">
        <v>45913</v>
      </c>
      <c r="C297" s="19" t="s">
        <v>28</v>
      </c>
      <c r="D297" s="19" t="s">
        <v>26</v>
      </c>
      <c r="E297" s="19" t="s">
        <v>17</v>
      </c>
      <c r="F297" s="19" t="s">
        <v>32</v>
      </c>
      <c r="G297" s="19">
        <v>18</v>
      </c>
      <c r="H297" s="20">
        <v>9000</v>
      </c>
      <c r="I297" s="24">
        <v>0</v>
      </c>
      <c r="J297" s="28">
        <f>Table2[[#This Row],[Quantity]]*Table2[[#This Row],[Unit_Price]]</f>
        <v>162000</v>
      </c>
      <c r="K297" s="31">
        <f t="shared" si="4"/>
        <v>162000</v>
      </c>
      <c r="L297" s="31">
        <f>Table2[[#This Row],[gross sales]]-Table2[[#This Row],[net sale]]</f>
        <v>0</v>
      </c>
      <c r="M297" s="37" t="str">
        <f>TEXT(B297,"mmm")</f>
        <v>Sep</v>
      </c>
    </row>
    <row r="298" spans="1:13">
      <c r="A298" s="16">
        <v>1297</v>
      </c>
      <c r="B298" s="15">
        <v>45807</v>
      </c>
      <c r="C298" s="16" t="s">
        <v>31</v>
      </c>
      <c r="D298" s="16" t="s">
        <v>26</v>
      </c>
      <c r="E298" s="16" t="s">
        <v>11</v>
      </c>
      <c r="F298" s="16" t="s">
        <v>12</v>
      </c>
      <c r="G298" s="16">
        <v>1</v>
      </c>
      <c r="H298" s="17">
        <v>8500</v>
      </c>
      <c r="I298" s="23">
        <v>0.12</v>
      </c>
      <c r="J298" s="28">
        <f>Table2[[#This Row],[Quantity]]*Table2[[#This Row],[Unit_Price]]</f>
        <v>8500</v>
      </c>
      <c r="K298" s="31">
        <f t="shared" si="4"/>
        <v>7480</v>
      </c>
      <c r="L298" s="31">
        <f>Table2[[#This Row],[gross sales]]-Table2[[#This Row],[net sale]]</f>
        <v>1020</v>
      </c>
      <c r="M298" s="36" t="str">
        <f>TEXT(B298,"mmm")</f>
        <v>May</v>
      </c>
    </row>
    <row r="299" spans="1:13">
      <c r="A299" s="19">
        <v>1298</v>
      </c>
      <c r="B299" s="18">
        <v>45950</v>
      </c>
      <c r="C299" s="19" t="s">
        <v>31</v>
      </c>
      <c r="D299" s="19" t="s">
        <v>26</v>
      </c>
      <c r="E299" s="19" t="s">
        <v>14</v>
      </c>
      <c r="F299" s="19" t="s">
        <v>23</v>
      </c>
      <c r="G299" s="19">
        <v>6</v>
      </c>
      <c r="H299" s="20">
        <v>8500</v>
      </c>
      <c r="I299" s="24">
        <v>0.15</v>
      </c>
      <c r="J299" s="28">
        <f>Table2[[#This Row],[Quantity]]*Table2[[#This Row],[Unit_Price]]</f>
        <v>51000</v>
      </c>
      <c r="K299" s="31">
        <f t="shared" si="4"/>
        <v>43350</v>
      </c>
      <c r="L299" s="31">
        <f>Table2[[#This Row],[gross sales]]-Table2[[#This Row],[net sale]]</f>
        <v>7650</v>
      </c>
      <c r="M299" s="37" t="str">
        <f>TEXT(B299,"mmm")</f>
        <v>Oct</v>
      </c>
    </row>
    <row r="300" spans="1:13">
      <c r="A300" s="16">
        <v>1299</v>
      </c>
      <c r="B300" s="15">
        <v>45692</v>
      </c>
      <c r="C300" s="16" t="s">
        <v>25</v>
      </c>
      <c r="D300" s="16" t="s">
        <v>26</v>
      </c>
      <c r="E300" s="16" t="s">
        <v>14</v>
      </c>
      <c r="F300" s="16" t="s">
        <v>15</v>
      </c>
      <c r="G300" s="16">
        <v>18</v>
      </c>
      <c r="H300" s="17">
        <v>11000</v>
      </c>
      <c r="I300" s="23">
        <v>0.12</v>
      </c>
      <c r="J300" s="28">
        <f>Table2[[#This Row],[Quantity]]*Table2[[#This Row],[Unit_Price]]</f>
        <v>198000</v>
      </c>
      <c r="K300" s="31">
        <f t="shared" si="4"/>
        <v>174240</v>
      </c>
      <c r="L300" s="31">
        <f>Table2[[#This Row],[gross sales]]-Table2[[#This Row],[net sale]]</f>
        <v>23760</v>
      </c>
      <c r="M300" s="36" t="str">
        <f>TEXT(B300,"mmm")</f>
        <v>Feb</v>
      </c>
    </row>
    <row r="301" spans="1:13">
      <c r="A301" s="19">
        <v>1300</v>
      </c>
      <c r="B301" s="18">
        <v>45898</v>
      </c>
      <c r="C301" s="19" t="s">
        <v>16</v>
      </c>
      <c r="D301" s="19" t="s">
        <v>10</v>
      </c>
      <c r="E301" s="19" t="s">
        <v>11</v>
      </c>
      <c r="F301" s="21" t="s">
        <v>50</v>
      </c>
      <c r="G301" s="19">
        <v>13</v>
      </c>
      <c r="H301" s="20">
        <v>55000</v>
      </c>
      <c r="I301" s="24">
        <v>0.08</v>
      </c>
      <c r="J301" s="28">
        <f>Table2[[#This Row],[Quantity]]*Table2[[#This Row],[Unit_Price]]</f>
        <v>715000</v>
      </c>
      <c r="K301" s="31">
        <f t="shared" si="4"/>
        <v>657800</v>
      </c>
      <c r="L301" s="31">
        <f>Table2[[#This Row],[gross sales]]-Table2[[#This Row],[net sale]]</f>
        <v>57200</v>
      </c>
      <c r="M301" s="37" t="str">
        <f>TEXT(B301,"mmm")</f>
        <v>Aug</v>
      </c>
    </row>
    <row r="302" spans="1:13">
      <c r="A302" s="16">
        <v>1301</v>
      </c>
      <c r="B302" s="15">
        <v>45840</v>
      </c>
      <c r="C302" s="16" t="s">
        <v>35</v>
      </c>
      <c r="D302" s="16" t="s">
        <v>36</v>
      </c>
      <c r="E302" s="16" t="s">
        <v>17</v>
      </c>
      <c r="F302" s="16" t="s">
        <v>24</v>
      </c>
      <c r="G302" s="16">
        <v>3</v>
      </c>
      <c r="H302" s="17">
        <v>3500</v>
      </c>
      <c r="I302" s="23">
        <v>0.08</v>
      </c>
      <c r="J302" s="28">
        <f>Table2[[#This Row],[Quantity]]*Table2[[#This Row],[Unit_Price]]</f>
        <v>10500</v>
      </c>
      <c r="K302" s="31">
        <f t="shared" si="4"/>
        <v>9660</v>
      </c>
      <c r="L302" s="31">
        <f>Table2[[#This Row],[gross sales]]-Table2[[#This Row],[net sale]]</f>
        <v>840</v>
      </c>
      <c r="M302" s="36" t="str">
        <f>TEXT(B302,"mmm")</f>
        <v>Jul</v>
      </c>
    </row>
    <row r="303" spans="1:13">
      <c r="A303" s="19">
        <v>1302</v>
      </c>
      <c r="B303" s="18">
        <v>45955</v>
      </c>
      <c r="C303" s="19" t="s">
        <v>39</v>
      </c>
      <c r="D303" s="19" t="s">
        <v>30</v>
      </c>
      <c r="E303" s="19" t="s">
        <v>14</v>
      </c>
      <c r="F303" s="19" t="s">
        <v>23</v>
      </c>
      <c r="G303" s="19">
        <v>11</v>
      </c>
      <c r="H303" s="19">
        <v>180</v>
      </c>
      <c r="I303" s="24">
        <v>0.05</v>
      </c>
      <c r="J303" s="28">
        <f>Table2[[#This Row],[Quantity]]*Table2[[#This Row],[Unit_Price]]</f>
        <v>1980</v>
      </c>
      <c r="K303" s="31">
        <f t="shared" si="4"/>
        <v>1881</v>
      </c>
      <c r="L303" s="31">
        <f>Table2[[#This Row],[gross sales]]-Table2[[#This Row],[net sale]]</f>
        <v>99</v>
      </c>
      <c r="M303" s="37" t="str">
        <f>TEXT(B303,"mmm")</f>
        <v>Oct</v>
      </c>
    </row>
    <row r="304" spans="1:13">
      <c r="A304" s="16">
        <v>1303</v>
      </c>
      <c r="B304" s="15">
        <v>45937</v>
      </c>
      <c r="C304" s="16" t="s">
        <v>33</v>
      </c>
      <c r="D304" s="16" t="s">
        <v>10</v>
      </c>
      <c r="E304" s="16" t="s">
        <v>22</v>
      </c>
      <c r="F304" s="16" t="s">
        <v>20</v>
      </c>
      <c r="G304" s="16">
        <v>6</v>
      </c>
      <c r="H304" s="17">
        <v>2500</v>
      </c>
      <c r="I304" s="23">
        <v>0.15</v>
      </c>
      <c r="J304" s="28">
        <f>Table2[[#This Row],[Quantity]]*Table2[[#This Row],[Unit_Price]]</f>
        <v>15000</v>
      </c>
      <c r="K304" s="31">
        <f t="shared" si="4"/>
        <v>12750</v>
      </c>
      <c r="L304" s="31">
        <f>Table2[[#This Row],[gross sales]]-Table2[[#This Row],[net sale]]</f>
        <v>2250</v>
      </c>
      <c r="M304" s="36" t="str">
        <f>TEXT(B304,"mmm")</f>
        <v>Oct</v>
      </c>
    </row>
    <row r="305" spans="1:13">
      <c r="A305" s="19">
        <v>1304</v>
      </c>
      <c r="B305" s="18">
        <v>45981</v>
      </c>
      <c r="C305" s="19" t="s">
        <v>13</v>
      </c>
      <c r="D305" s="19" t="s">
        <v>10</v>
      </c>
      <c r="E305" s="19" t="s">
        <v>22</v>
      </c>
      <c r="F305" s="19" t="s">
        <v>18</v>
      </c>
      <c r="G305" s="19">
        <v>5</v>
      </c>
      <c r="H305" s="20">
        <v>1200</v>
      </c>
      <c r="I305" s="24">
        <v>0</v>
      </c>
      <c r="J305" s="28">
        <f>Table2[[#This Row],[Quantity]]*Table2[[#This Row],[Unit_Price]]</f>
        <v>6000</v>
      </c>
      <c r="K305" s="31">
        <f t="shared" si="4"/>
        <v>6000</v>
      </c>
      <c r="L305" s="31">
        <f>Table2[[#This Row],[gross sales]]-Table2[[#This Row],[net sale]]</f>
        <v>0</v>
      </c>
      <c r="M305" s="37" t="str">
        <f>TEXT(B305,"mmm")</f>
        <v>Nov</v>
      </c>
    </row>
    <row r="306" spans="1:13">
      <c r="A306" s="16">
        <v>1305</v>
      </c>
      <c r="B306" s="15">
        <v>45808</v>
      </c>
      <c r="C306" s="16" t="s">
        <v>19</v>
      </c>
      <c r="D306" s="16" t="s">
        <v>10</v>
      </c>
      <c r="E306" s="16" t="s">
        <v>14</v>
      </c>
      <c r="F306" s="16" t="s">
        <v>23</v>
      </c>
      <c r="G306" s="16">
        <v>2</v>
      </c>
      <c r="H306" s="16">
        <v>800</v>
      </c>
      <c r="I306" s="23">
        <v>0.05</v>
      </c>
      <c r="J306" s="28">
        <f>Table2[[#This Row],[Quantity]]*Table2[[#This Row],[Unit_Price]]</f>
        <v>1600</v>
      </c>
      <c r="K306" s="31">
        <f t="shared" si="4"/>
        <v>1520</v>
      </c>
      <c r="L306" s="31">
        <f>Table2[[#This Row],[gross sales]]-Table2[[#This Row],[net sale]]</f>
        <v>80</v>
      </c>
      <c r="M306" s="36" t="str">
        <f>TEXT(B306,"mmm")</f>
        <v>May</v>
      </c>
    </row>
    <row r="307" spans="1:13">
      <c r="A307" s="19">
        <v>1306</v>
      </c>
      <c r="B307" s="18">
        <v>45816</v>
      </c>
      <c r="C307" s="19" t="s">
        <v>25</v>
      </c>
      <c r="D307" s="19" t="s">
        <v>26</v>
      </c>
      <c r="E307" s="19" t="s">
        <v>22</v>
      </c>
      <c r="F307" s="19" t="s">
        <v>27</v>
      </c>
      <c r="G307" s="19">
        <v>13</v>
      </c>
      <c r="H307" s="20">
        <v>11000</v>
      </c>
      <c r="I307" s="24">
        <v>0.12</v>
      </c>
      <c r="J307" s="28">
        <f>Table2[[#This Row],[Quantity]]*Table2[[#This Row],[Unit_Price]]</f>
        <v>143000</v>
      </c>
      <c r="K307" s="31">
        <f t="shared" si="4"/>
        <v>125840</v>
      </c>
      <c r="L307" s="31">
        <f>Table2[[#This Row],[gross sales]]-Table2[[#This Row],[net sale]]</f>
        <v>17160</v>
      </c>
      <c r="M307" s="37" t="str">
        <f>TEXT(B307,"mmm")</f>
        <v>Jun</v>
      </c>
    </row>
    <row r="308" spans="1:13">
      <c r="A308" s="16">
        <v>1307</v>
      </c>
      <c r="B308" s="15">
        <v>45676</v>
      </c>
      <c r="C308" s="16" t="s">
        <v>35</v>
      </c>
      <c r="D308" s="16" t="s">
        <v>36</v>
      </c>
      <c r="E308" s="16" t="s">
        <v>11</v>
      </c>
      <c r="F308" s="16" t="s">
        <v>18</v>
      </c>
      <c r="G308" s="16">
        <v>7</v>
      </c>
      <c r="H308" s="17">
        <v>3500</v>
      </c>
      <c r="I308" s="23">
        <v>0.08</v>
      </c>
      <c r="J308" s="28">
        <f>Table2[[#This Row],[Quantity]]*Table2[[#This Row],[Unit_Price]]</f>
        <v>24500</v>
      </c>
      <c r="K308" s="31">
        <f t="shared" si="4"/>
        <v>22540</v>
      </c>
      <c r="L308" s="31">
        <f>Table2[[#This Row],[gross sales]]-Table2[[#This Row],[net sale]]</f>
        <v>1960</v>
      </c>
      <c r="M308" s="36" t="str">
        <f>TEXT(B308,"mmm")</f>
        <v>Jan</v>
      </c>
    </row>
    <row r="309" spans="1:13">
      <c r="A309" s="19">
        <v>1308</v>
      </c>
      <c r="B309" s="18">
        <v>45993</v>
      </c>
      <c r="C309" s="19" t="s">
        <v>33</v>
      </c>
      <c r="D309" s="19" t="s">
        <v>10</v>
      </c>
      <c r="E309" s="19" t="s">
        <v>11</v>
      </c>
      <c r="F309" s="19" t="s">
        <v>15</v>
      </c>
      <c r="G309" s="19">
        <v>9</v>
      </c>
      <c r="H309" s="20">
        <v>2500</v>
      </c>
      <c r="I309" s="24">
        <v>0</v>
      </c>
      <c r="J309" s="28">
        <f>Table2[[#This Row],[Quantity]]*Table2[[#This Row],[Unit_Price]]</f>
        <v>22500</v>
      </c>
      <c r="K309" s="31">
        <f t="shared" si="4"/>
        <v>22500</v>
      </c>
      <c r="L309" s="31">
        <f>Table2[[#This Row],[gross sales]]-Table2[[#This Row],[net sale]]</f>
        <v>0</v>
      </c>
      <c r="M309" s="37" t="str">
        <f>TEXT(B309,"mmm")</f>
        <v>Dec</v>
      </c>
    </row>
    <row r="310" spans="1:13">
      <c r="A310" s="16">
        <v>1309</v>
      </c>
      <c r="B310" s="15">
        <v>45862</v>
      </c>
      <c r="C310" s="16" t="s">
        <v>39</v>
      </c>
      <c r="D310" s="16" t="s">
        <v>30</v>
      </c>
      <c r="E310" s="16" t="s">
        <v>11</v>
      </c>
      <c r="F310" s="16" t="s">
        <v>32</v>
      </c>
      <c r="G310" s="16">
        <v>15</v>
      </c>
      <c r="H310" s="16">
        <v>180</v>
      </c>
      <c r="I310" s="23">
        <v>0.1</v>
      </c>
      <c r="J310" s="28">
        <f>Table2[[#This Row],[Quantity]]*Table2[[#This Row],[Unit_Price]]</f>
        <v>2700</v>
      </c>
      <c r="K310" s="31">
        <f t="shared" si="4"/>
        <v>2430</v>
      </c>
      <c r="L310" s="31">
        <f>Table2[[#This Row],[gross sales]]-Table2[[#This Row],[net sale]]</f>
        <v>270</v>
      </c>
      <c r="M310" s="36" t="str">
        <f>TEXT(B310,"mmm")</f>
        <v>Jul</v>
      </c>
    </row>
    <row r="311" spans="1:13">
      <c r="A311" s="19">
        <v>1310</v>
      </c>
      <c r="B311" s="18">
        <v>45912</v>
      </c>
      <c r="C311" s="19" t="s">
        <v>39</v>
      </c>
      <c r="D311" s="19" t="s">
        <v>30</v>
      </c>
      <c r="E311" s="19" t="s">
        <v>11</v>
      </c>
      <c r="F311" s="19" t="s">
        <v>24</v>
      </c>
      <c r="G311" s="19">
        <v>16</v>
      </c>
      <c r="H311" s="19">
        <v>180</v>
      </c>
      <c r="I311" s="24">
        <v>0.08</v>
      </c>
      <c r="J311" s="28">
        <f>Table2[[#This Row],[Quantity]]*Table2[[#This Row],[Unit_Price]]</f>
        <v>2880</v>
      </c>
      <c r="K311" s="31">
        <f t="shared" si="4"/>
        <v>2649.6</v>
      </c>
      <c r="L311" s="31">
        <f>Table2[[#This Row],[gross sales]]-Table2[[#This Row],[net sale]]</f>
        <v>230.40000000000009</v>
      </c>
      <c r="M311" s="37" t="str">
        <f>TEXT(B311,"mmm")</f>
        <v>Sep</v>
      </c>
    </row>
    <row r="312" spans="1:13">
      <c r="A312" s="16">
        <v>1311</v>
      </c>
      <c r="B312" s="15">
        <v>45875</v>
      </c>
      <c r="C312" s="16" t="s">
        <v>9</v>
      </c>
      <c r="D312" s="16" t="s">
        <v>10</v>
      </c>
      <c r="E312" s="16" t="s">
        <v>17</v>
      </c>
      <c r="F312" s="16" t="s">
        <v>27</v>
      </c>
      <c r="G312" s="16">
        <v>14</v>
      </c>
      <c r="H312" s="17">
        <v>18000</v>
      </c>
      <c r="I312" s="23">
        <v>0.12</v>
      </c>
      <c r="J312" s="28">
        <f>Table2[[#This Row],[Quantity]]*Table2[[#This Row],[Unit_Price]]</f>
        <v>252000</v>
      </c>
      <c r="K312" s="31">
        <f t="shared" si="4"/>
        <v>221760</v>
      </c>
      <c r="L312" s="31">
        <f>Table2[[#This Row],[gross sales]]-Table2[[#This Row],[net sale]]</f>
        <v>30240</v>
      </c>
      <c r="M312" s="36" t="str">
        <f>TEXT(B312,"mmm")</f>
        <v>Aug</v>
      </c>
    </row>
    <row r="313" spans="1:13">
      <c r="A313" s="19">
        <v>1312</v>
      </c>
      <c r="B313" s="18">
        <v>45822</v>
      </c>
      <c r="C313" s="19" t="s">
        <v>9</v>
      </c>
      <c r="D313" s="19" t="s">
        <v>10</v>
      </c>
      <c r="E313" s="19" t="s">
        <v>11</v>
      </c>
      <c r="F313" s="19" t="s">
        <v>27</v>
      </c>
      <c r="G313" s="19">
        <v>3</v>
      </c>
      <c r="H313" s="20">
        <v>18000</v>
      </c>
      <c r="I313" s="24">
        <v>0.08</v>
      </c>
      <c r="J313" s="28">
        <f>Table2[[#This Row],[Quantity]]*Table2[[#This Row],[Unit_Price]]</f>
        <v>54000</v>
      </c>
      <c r="K313" s="31">
        <f t="shared" si="4"/>
        <v>49680</v>
      </c>
      <c r="L313" s="31">
        <f>Table2[[#This Row],[gross sales]]-Table2[[#This Row],[net sale]]</f>
        <v>4320</v>
      </c>
      <c r="M313" s="37" t="str">
        <f>TEXT(B313,"mmm")</f>
        <v>Jun</v>
      </c>
    </row>
    <row r="314" spans="1:13">
      <c r="A314" s="16">
        <v>1313</v>
      </c>
      <c r="B314" s="15">
        <v>45886</v>
      </c>
      <c r="C314" s="16" t="s">
        <v>28</v>
      </c>
      <c r="D314" s="16" t="s">
        <v>26</v>
      </c>
      <c r="E314" s="16" t="s">
        <v>22</v>
      </c>
      <c r="F314" s="16" t="s">
        <v>23</v>
      </c>
      <c r="G314" s="16">
        <v>14</v>
      </c>
      <c r="H314" s="17">
        <v>9000</v>
      </c>
      <c r="I314" s="23">
        <v>0.05</v>
      </c>
      <c r="J314" s="28">
        <f>Table2[[#This Row],[Quantity]]*Table2[[#This Row],[Unit_Price]]</f>
        <v>126000</v>
      </c>
      <c r="K314" s="31">
        <f t="shared" si="4"/>
        <v>119700</v>
      </c>
      <c r="L314" s="31">
        <f>Table2[[#This Row],[gross sales]]-Table2[[#This Row],[net sale]]</f>
        <v>6300</v>
      </c>
      <c r="M314" s="36" t="str">
        <f>TEXT(B314,"mmm")</f>
        <v>Aug</v>
      </c>
    </row>
    <row r="315" spans="1:13">
      <c r="A315" s="19">
        <v>1314</v>
      </c>
      <c r="B315" s="18">
        <v>45886</v>
      </c>
      <c r="C315" s="19" t="s">
        <v>16</v>
      </c>
      <c r="D315" s="19" t="s">
        <v>10</v>
      </c>
      <c r="E315" s="19" t="s">
        <v>22</v>
      </c>
      <c r="F315" s="19" t="s">
        <v>27</v>
      </c>
      <c r="G315" s="19">
        <v>12</v>
      </c>
      <c r="H315" s="20">
        <v>55000</v>
      </c>
      <c r="I315" s="24">
        <v>0.12</v>
      </c>
      <c r="J315" s="28">
        <f>Table2[[#This Row],[Quantity]]*Table2[[#This Row],[Unit_Price]]</f>
        <v>660000</v>
      </c>
      <c r="K315" s="31">
        <f t="shared" si="4"/>
        <v>580800</v>
      </c>
      <c r="L315" s="31">
        <f>Table2[[#This Row],[gross sales]]-Table2[[#This Row],[net sale]]</f>
        <v>79200</v>
      </c>
      <c r="M315" s="37" t="str">
        <f>TEXT(B315,"mmm")</f>
        <v>Aug</v>
      </c>
    </row>
    <row r="316" spans="1:13">
      <c r="A316" s="16">
        <v>1315</v>
      </c>
      <c r="B316" s="15">
        <v>45985</v>
      </c>
      <c r="C316" s="16" t="s">
        <v>35</v>
      </c>
      <c r="D316" s="16" t="s">
        <v>36</v>
      </c>
      <c r="E316" s="16" t="s">
        <v>22</v>
      </c>
      <c r="F316" s="16" t="s">
        <v>23</v>
      </c>
      <c r="G316" s="16">
        <v>2</v>
      </c>
      <c r="H316" s="17">
        <v>3500</v>
      </c>
      <c r="I316" s="23">
        <v>0</v>
      </c>
      <c r="J316" s="28">
        <f>Table2[[#This Row],[Quantity]]*Table2[[#This Row],[Unit_Price]]</f>
        <v>7000</v>
      </c>
      <c r="K316" s="31">
        <f t="shared" si="4"/>
        <v>7000</v>
      </c>
      <c r="L316" s="31">
        <f>Table2[[#This Row],[gross sales]]-Table2[[#This Row],[net sale]]</f>
        <v>0</v>
      </c>
      <c r="M316" s="36" t="str">
        <f>TEXT(B316,"mmm")</f>
        <v>Nov</v>
      </c>
    </row>
    <row r="317" spans="1:13">
      <c r="A317" s="19">
        <v>1316</v>
      </c>
      <c r="B317" s="18">
        <v>45920</v>
      </c>
      <c r="C317" s="19" t="s">
        <v>35</v>
      </c>
      <c r="D317" s="19" t="s">
        <v>36</v>
      </c>
      <c r="E317" s="19" t="s">
        <v>17</v>
      </c>
      <c r="F317" s="19" t="s">
        <v>20</v>
      </c>
      <c r="G317" s="19">
        <v>6</v>
      </c>
      <c r="H317" s="20">
        <v>3500</v>
      </c>
      <c r="I317" s="24">
        <v>0</v>
      </c>
      <c r="J317" s="28">
        <f>Table2[[#This Row],[Quantity]]*Table2[[#This Row],[Unit_Price]]</f>
        <v>21000</v>
      </c>
      <c r="K317" s="31">
        <f t="shared" si="4"/>
        <v>21000</v>
      </c>
      <c r="L317" s="31">
        <f>Table2[[#This Row],[gross sales]]-Table2[[#This Row],[net sale]]</f>
        <v>0</v>
      </c>
      <c r="M317" s="37" t="str">
        <f>TEXT(B317,"mmm")</f>
        <v>Sep</v>
      </c>
    </row>
    <row r="318" spans="1:13">
      <c r="A318" s="16">
        <v>1317</v>
      </c>
      <c r="B318" s="15">
        <v>45675</v>
      </c>
      <c r="C318" s="16" t="s">
        <v>13</v>
      </c>
      <c r="D318" s="16" t="s">
        <v>10</v>
      </c>
      <c r="E318" s="16" t="s">
        <v>11</v>
      </c>
      <c r="F318" s="16" t="s">
        <v>23</v>
      </c>
      <c r="G318" s="16">
        <v>3</v>
      </c>
      <c r="H318" s="17">
        <v>1200</v>
      </c>
      <c r="I318" s="23">
        <v>0.05</v>
      </c>
      <c r="J318" s="28">
        <f>Table2[[#This Row],[Quantity]]*Table2[[#This Row],[Unit_Price]]</f>
        <v>3600</v>
      </c>
      <c r="K318" s="31">
        <f t="shared" si="4"/>
        <v>3420</v>
      </c>
      <c r="L318" s="31">
        <f>Table2[[#This Row],[gross sales]]-Table2[[#This Row],[net sale]]</f>
        <v>180</v>
      </c>
      <c r="M318" s="36" t="str">
        <f>TEXT(B318,"mmm")</f>
        <v>Jan</v>
      </c>
    </row>
    <row r="319" spans="1:13">
      <c r="A319" s="19">
        <v>1318</v>
      </c>
      <c r="B319" s="18">
        <v>45854</v>
      </c>
      <c r="C319" s="19" t="s">
        <v>28</v>
      </c>
      <c r="D319" s="19" t="s">
        <v>26</v>
      </c>
      <c r="E319" s="19" t="s">
        <v>17</v>
      </c>
      <c r="F319" s="19" t="s">
        <v>20</v>
      </c>
      <c r="G319" s="19">
        <v>2</v>
      </c>
      <c r="H319" s="20">
        <v>9000</v>
      </c>
      <c r="I319" s="24">
        <v>0.12</v>
      </c>
      <c r="J319" s="28">
        <f>Table2[[#This Row],[Quantity]]*Table2[[#This Row],[Unit_Price]]</f>
        <v>18000</v>
      </c>
      <c r="K319" s="31">
        <f t="shared" si="4"/>
        <v>15840</v>
      </c>
      <c r="L319" s="31">
        <f>Table2[[#This Row],[gross sales]]-Table2[[#This Row],[net sale]]</f>
        <v>2160</v>
      </c>
      <c r="M319" s="37" t="str">
        <f>TEXT(B319,"mmm")</f>
        <v>Jul</v>
      </c>
    </row>
    <row r="320" spans="1:13">
      <c r="A320" s="16">
        <v>1319</v>
      </c>
      <c r="B320" s="15">
        <v>45847</v>
      </c>
      <c r="C320" s="16" t="s">
        <v>33</v>
      </c>
      <c r="D320" s="16" t="s">
        <v>10</v>
      </c>
      <c r="E320" s="16" t="s">
        <v>17</v>
      </c>
      <c r="F320" s="16" t="s">
        <v>23</v>
      </c>
      <c r="G320" s="16">
        <v>15</v>
      </c>
      <c r="H320" s="17">
        <v>2500</v>
      </c>
      <c r="I320" s="23">
        <v>0</v>
      </c>
      <c r="J320" s="28">
        <f>Table2[[#This Row],[Quantity]]*Table2[[#This Row],[Unit_Price]]</f>
        <v>37500</v>
      </c>
      <c r="K320" s="31">
        <f t="shared" si="4"/>
        <v>37500</v>
      </c>
      <c r="L320" s="31">
        <f>Table2[[#This Row],[gross sales]]-Table2[[#This Row],[net sale]]</f>
        <v>0</v>
      </c>
      <c r="M320" s="36" t="str">
        <f>TEXT(B320,"mmm")</f>
        <v>Jul</v>
      </c>
    </row>
    <row r="321" spans="1:13">
      <c r="A321" s="19">
        <v>1320</v>
      </c>
      <c r="B321" s="18">
        <v>45861</v>
      </c>
      <c r="C321" s="19" t="s">
        <v>33</v>
      </c>
      <c r="D321" s="19" t="s">
        <v>10</v>
      </c>
      <c r="E321" s="19" t="s">
        <v>14</v>
      </c>
      <c r="F321" s="19" t="s">
        <v>18</v>
      </c>
      <c r="G321" s="19">
        <v>9</v>
      </c>
      <c r="H321" s="20">
        <v>2500</v>
      </c>
      <c r="I321" s="24">
        <v>0.05</v>
      </c>
      <c r="J321" s="28">
        <f>Table2[[#This Row],[Quantity]]*Table2[[#This Row],[Unit_Price]]</f>
        <v>22500</v>
      </c>
      <c r="K321" s="31">
        <f t="shared" si="4"/>
        <v>21375</v>
      </c>
      <c r="L321" s="31">
        <f>Table2[[#This Row],[gross sales]]-Table2[[#This Row],[net sale]]</f>
        <v>1125</v>
      </c>
      <c r="M321" s="37" t="str">
        <f>TEXT(B321,"mmm")</f>
        <v>Jul</v>
      </c>
    </row>
    <row r="322" spans="1:13">
      <c r="A322" s="16">
        <v>1321</v>
      </c>
      <c r="B322" s="15">
        <v>45753</v>
      </c>
      <c r="C322" s="16" t="s">
        <v>34</v>
      </c>
      <c r="D322" s="16" t="s">
        <v>26</v>
      </c>
      <c r="E322" s="16" t="s">
        <v>14</v>
      </c>
      <c r="F322" s="16" t="s">
        <v>27</v>
      </c>
      <c r="G322" s="16">
        <v>17</v>
      </c>
      <c r="H322" s="17">
        <v>15000</v>
      </c>
      <c r="I322" s="23">
        <v>0.1</v>
      </c>
      <c r="J322" s="28">
        <f>Table2[[#This Row],[Quantity]]*Table2[[#This Row],[Unit_Price]]</f>
        <v>255000</v>
      </c>
      <c r="K322" s="31">
        <f t="shared" ref="K322:K385" si="5">J322*(1-I322)</f>
        <v>229500</v>
      </c>
      <c r="L322" s="31">
        <f>Table2[[#This Row],[gross sales]]-Table2[[#This Row],[net sale]]</f>
        <v>25500</v>
      </c>
      <c r="M322" s="36" t="str">
        <f>TEXT(B322,"mmm")</f>
        <v>Apr</v>
      </c>
    </row>
    <row r="323" spans="1:13">
      <c r="A323" s="19">
        <v>1322</v>
      </c>
      <c r="B323" s="18">
        <v>45791</v>
      </c>
      <c r="C323" s="19" t="s">
        <v>39</v>
      </c>
      <c r="D323" s="19" t="s">
        <v>30</v>
      </c>
      <c r="E323" s="19" t="s">
        <v>11</v>
      </c>
      <c r="F323" s="19" t="s">
        <v>20</v>
      </c>
      <c r="G323" s="19">
        <v>15</v>
      </c>
      <c r="H323" s="19">
        <v>180</v>
      </c>
      <c r="I323" s="24">
        <v>0.05</v>
      </c>
      <c r="J323" s="28">
        <f>Table2[[#This Row],[Quantity]]*Table2[[#This Row],[Unit_Price]]</f>
        <v>2700</v>
      </c>
      <c r="K323" s="31">
        <f t="shared" si="5"/>
        <v>2565</v>
      </c>
      <c r="L323" s="31">
        <f>Table2[[#This Row],[gross sales]]-Table2[[#This Row],[net sale]]</f>
        <v>135</v>
      </c>
      <c r="M323" s="37" t="str">
        <f>TEXT(B323,"mmm")</f>
        <v>May</v>
      </c>
    </row>
    <row r="324" spans="1:13">
      <c r="A324" s="16">
        <v>1323</v>
      </c>
      <c r="B324" s="15">
        <v>45760</v>
      </c>
      <c r="C324" s="16" t="s">
        <v>9</v>
      </c>
      <c r="D324" s="16" t="s">
        <v>10</v>
      </c>
      <c r="E324" s="16" t="s">
        <v>22</v>
      </c>
      <c r="F324" s="16" t="s">
        <v>32</v>
      </c>
      <c r="G324" s="16">
        <v>5</v>
      </c>
      <c r="H324" s="17">
        <v>18000</v>
      </c>
      <c r="I324" s="23">
        <v>0</v>
      </c>
      <c r="J324" s="28">
        <f>Table2[[#This Row],[Quantity]]*Table2[[#This Row],[Unit_Price]]</f>
        <v>90000</v>
      </c>
      <c r="K324" s="31">
        <f t="shared" si="5"/>
        <v>90000</v>
      </c>
      <c r="L324" s="31">
        <f>Table2[[#This Row],[gross sales]]-Table2[[#This Row],[net sale]]</f>
        <v>0</v>
      </c>
      <c r="M324" s="36" t="str">
        <f>TEXT(B324,"mmm")</f>
        <v>Apr</v>
      </c>
    </row>
    <row r="325" spans="1:13">
      <c r="A325" s="19">
        <v>1324</v>
      </c>
      <c r="B325" s="18">
        <v>45885</v>
      </c>
      <c r="C325" s="19" t="s">
        <v>9</v>
      </c>
      <c r="D325" s="19" t="s">
        <v>10</v>
      </c>
      <c r="E325" s="19" t="s">
        <v>11</v>
      </c>
      <c r="F325" s="19" t="s">
        <v>24</v>
      </c>
      <c r="G325" s="19">
        <v>11</v>
      </c>
      <c r="H325" s="20">
        <v>18000</v>
      </c>
      <c r="I325" s="24">
        <v>0.15</v>
      </c>
      <c r="J325" s="28">
        <f>Table2[[#This Row],[Quantity]]*Table2[[#This Row],[Unit_Price]]</f>
        <v>198000</v>
      </c>
      <c r="K325" s="31">
        <f t="shared" si="5"/>
        <v>168300</v>
      </c>
      <c r="L325" s="31">
        <f>Table2[[#This Row],[gross sales]]-Table2[[#This Row],[net sale]]</f>
        <v>29700</v>
      </c>
      <c r="M325" s="37" t="str">
        <f>TEXT(B325,"mmm")</f>
        <v>Aug</v>
      </c>
    </row>
    <row r="326" spans="1:13">
      <c r="A326" s="16">
        <v>1325</v>
      </c>
      <c r="B326" s="15">
        <v>45939</v>
      </c>
      <c r="C326" s="16" t="s">
        <v>25</v>
      </c>
      <c r="D326" s="16" t="s">
        <v>26</v>
      </c>
      <c r="E326" s="16" t="s">
        <v>17</v>
      </c>
      <c r="F326" s="16" t="s">
        <v>32</v>
      </c>
      <c r="G326" s="16">
        <v>10</v>
      </c>
      <c r="H326" s="17">
        <v>11000</v>
      </c>
      <c r="I326" s="23">
        <v>0.08</v>
      </c>
      <c r="J326" s="28">
        <f>Table2[[#This Row],[Quantity]]*Table2[[#This Row],[Unit_Price]]</f>
        <v>110000</v>
      </c>
      <c r="K326" s="31">
        <f t="shared" si="5"/>
        <v>101200</v>
      </c>
      <c r="L326" s="31">
        <f>Table2[[#This Row],[gross sales]]-Table2[[#This Row],[net sale]]</f>
        <v>8800</v>
      </c>
      <c r="M326" s="36" t="str">
        <f>TEXT(B326,"mmm")</f>
        <v>Oct</v>
      </c>
    </row>
    <row r="327" spans="1:13">
      <c r="A327" s="19">
        <v>1326</v>
      </c>
      <c r="B327" s="18">
        <v>45843</v>
      </c>
      <c r="C327" s="19" t="s">
        <v>25</v>
      </c>
      <c r="D327" s="19" t="s">
        <v>26</v>
      </c>
      <c r="E327" s="19" t="s">
        <v>17</v>
      </c>
      <c r="F327" s="19" t="s">
        <v>32</v>
      </c>
      <c r="G327" s="19">
        <v>8</v>
      </c>
      <c r="H327" s="20">
        <v>11000</v>
      </c>
      <c r="I327" s="24">
        <v>0</v>
      </c>
      <c r="J327" s="28">
        <f>Table2[[#This Row],[Quantity]]*Table2[[#This Row],[Unit_Price]]</f>
        <v>88000</v>
      </c>
      <c r="K327" s="31">
        <f t="shared" si="5"/>
        <v>88000</v>
      </c>
      <c r="L327" s="31">
        <f>Table2[[#This Row],[gross sales]]-Table2[[#This Row],[net sale]]</f>
        <v>0</v>
      </c>
      <c r="M327" s="37" t="str">
        <f>TEXT(B327,"mmm")</f>
        <v>Jul</v>
      </c>
    </row>
    <row r="328" spans="1:13">
      <c r="A328" s="16">
        <v>1327</v>
      </c>
      <c r="B328" s="15">
        <v>45779</v>
      </c>
      <c r="C328" s="16" t="s">
        <v>35</v>
      </c>
      <c r="D328" s="16" t="s">
        <v>36</v>
      </c>
      <c r="E328" s="16" t="s">
        <v>11</v>
      </c>
      <c r="F328" s="16" t="s">
        <v>23</v>
      </c>
      <c r="G328" s="16">
        <v>16</v>
      </c>
      <c r="H328" s="17">
        <v>3500</v>
      </c>
      <c r="I328" s="23">
        <v>0</v>
      </c>
      <c r="J328" s="28">
        <f>Table2[[#This Row],[Quantity]]*Table2[[#This Row],[Unit_Price]]</f>
        <v>56000</v>
      </c>
      <c r="K328" s="31">
        <f t="shared" si="5"/>
        <v>56000</v>
      </c>
      <c r="L328" s="31">
        <f>Table2[[#This Row],[gross sales]]-Table2[[#This Row],[net sale]]</f>
        <v>0</v>
      </c>
      <c r="M328" s="36" t="str">
        <f>TEXT(B328,"mmm")</f>
        <v>May</v>
      </c>
    </row>
    <row r="329" spans="1:13">
      <c r="A329" s="19">
        <v>1328</v>
      </c>
      <c r="B329" s="18">
        <v>45897</v>
      </c>
      <c r="C329" s="19" t="s">
        <v>35</v>
      </c>
      <c r="D329" s="19" t="s">
        <v>36</v>
      </c>
      <c r="E329" s="19" t="s">
        <v>14</v>
      </c>
      <c r="F329" s="19" t="s">
        <v>24</v>
      </c>
      <c r="G329" s="19">
        <v>18</v>
      </c>
      <c r="H329" s="20">
        <v>3500</v>
      </c>
      <c r="I329" s="24">
        <v>0.05</v>
      </c>
      <c r="J329" s="28">
        <f>Table2[[#This Row],[Quantity]]*Table2[[#This Row],[Unit_Price]]</f>
        <v>63000</v>
      </c>
      <c r="K329" s="31">
        <f t="shared" si="5"/>
        <v>59850</v>
      </c>
      <c r="L329" s="31">
        <f>Table2[[#This Row],[gross sales]]-Table2[[#This Row],[net sale]]</f>
        <v>3150</v>
      </c>
      <c r="M329" s="37" t="str">
        <f>TEXT(B329,"mmm")</f>
        <v>Aug</v>
      </c>
    </row>
    <row r="330" spans="1:13">
      <c r="A330" s="16">
        <v>1329</v>
      </c>
      <c r="B330" s="15">
        <v>45816</v>
      </c>
      <c r="C330" s="16" t="s">
        <v>31</v>
      </c>
      <c r="D330" s="16" t="s">
        <v>26</v>
      </c>
      <c r="E330" s="16" t="s">
        <v>22</v>
      </c>
      <c r="F330" s="16" t="s">
        <v>15</v>
      </c>
      <c r="G330" s="16">
        <v>16</v>
      </c>
      <c r="H330" s="17">
        <v>8500</v>
      </c>
      <c r="I330" s="23">
        <v>0.12</v>
      </c>
      <c r="J330" s="28">
        <f>Table2[[#This Row],[Quantity]]*Table2[[#This Row],[Unit_Price]]</f>
        <v>136000</v>
      </c>
      <c r="K330" s="31">
        <f t="shared" si="5"/>
        <v>119680</v>
      </c>
      <c r="L330" s="31">
        <f>Table2[[#This Row],[gross sales]]-Table2[[#This Row],[net sale]]</f>
        <v>16320</v>
      </c>
      <c r="M330" s="36" t="str">
        <f>TEXT(B330,"mmm")</f>
        <v>Jun</v>
      </c>
    </row>
    <row r="331" spans="1:13">
      <c r="A331" s="19">
        <v>1330</v>
      </c>
      <c r="B331" s="18">
        <v>45952</v>
      </c>
      <c r="C331" s="19" t="s">
        <v>9</v>
      </c>
      <c r="D331" s="19" t="s">
        <v>10</v>
      </c>
      <c r="E331" s="19" t="s">
        <v>14</v>
      </c>
      <c r="F331" s="19" t="s">
        <v>20</v>
      </c>
      <c r="G331" s="19">
        <v>5</v>
      </c>
      <c r="H331" s="20">
        <v>18000</v>
      </c>
      <c r="I331" s="24">
        <v>0.08</v>
      </c>
      <c r="J331" s="28">
        <f>Table2[[#This Row],[Quantity]]*Table2[[#This Row],[Unit_Price]]</f>
        <v>90000</v>
      </c>
      <c r="K331" s="31">
        <f t="shared" si="5"/>
        <v>82800</v>
      </c>
      <c r="L331" s="31">
        <f>Table2[[#This Row],[gross sales]]-Table2[[#This Row],[net sale]]</f>
        <v>7200</v>
      </c>
      <c r="M331" s="37" t="str">
        <f>TEXT(B331,"mmm")</f>
        <v>Oct</v>
      </c>
    </row>
    <row r="332" spans="1:13">
      <c r="A332" s="16">
        <v>1331</v>
      </c>
      <c r="B332" s="15">
        <v>45896</v>
      </c>
      <c r="C332" s="16" t="s">
        <v>29</v>
      </c>
      <c r="D332" s="16" t="s">
        <v>30</v>
      </c>
      <c r="E332" s="16" t="s">
        <v>17</v>
      </c>
      <c r="F332" s="16" t="s">
        <v>32</v>
      </c>
      <c r="G332" s="16">
        <v>17</v>
      </c>
      <c r="H332" s="16">
        <v>250</v>
      </c>
      <c r="I332" s="23">
        <v>0.08</v>
      </c>
      <c r="J332" s="28">
        <f>Table2[[#This Row],[Quantity]]*Table2[[#This Row],[Unit_Price]]</f>
        <v>4250</v>
      </c>
      <c r="K332" s="31">
        <f t="shared" si="5"/>
        <v>3910</v>
      </c>
      <c r="L332" s="31">
        <f>Table2[[#This Row],[gross sales]]-Table2[[#This Row],[net sale]]</f>
        <v>340</v>
      </c>
      <c r="M332" s="36" t="str">
        <f>TEXT(B332,"mmm")</f>
        <v>Aug</v>
      </c>
    </row>
    <row r="333" spans="1:13">
      <c r="A333" s="19">
        <v>1332</v>
      </c>
      <c r="B333" s="18">
        <v>45724</v>
      </c>
      <c r="C333" s="19" t="s">
        <v>31</v>
      </c>
      <c r="D333" s="19" t="s">
        <v>26</v>
      </c>
      <c r="E333" s="19" t="s">
        <v>14</v>
      </c>
      <c r="F333" s="19" t="s">
        <v>32</v>
      </c>
      <c r="G333" s="19">
        <v>17</v>
      </c>
      <c r="H333" s="20">
        <v>8500</v>
      </c>
      <c r="I333" s="24">
        <v>0</v>
      </c>
      <c r="J333" s="28">
        <f>Table2[[#This Row],[Quantity]]*Table2[[#This Row],[Unit_Price]]</f>
        <v>144500</v>
      </c>
      <c r="K333" s="31">
        <f t="shared" si="5"/>
        <v>144500</v>
      </c>
      <c r="L333" s="31">
        <f>Table2[[#This Row],[gross sales]]-Table2[[#This Row],[net sale]]</f>
        <v>0</v>
      </c>
      <c r="M333" s="37" t="str">
        <f>TEXT(B333,"mmm")</f>
        <v>Mar</v>
      </c>
    </row>
    <row r="334" spans="1:13">
      <c r="A334" s="16">
        <v>1333</v>
      </c>
      <c r="B334" s="15">
        <v>45813</v>
      </c>
      <c r="C334" s="16" t="s">
        <v>13</v>
      </c>
      <c r="D334" s="16" t="s">
        <v>10</v>
      </c>
      <c r="E334" s="16" t="s">
        <v>17</v>
      </c>
      <c r="F334" s="16" t="s">
        <v>23</v>
      </c>
      <c r="G334" s="16">
        <v>6</v>
      </c>
      <c r="H334" s="17">
        <v>1200</v>
      </c>
      <c r="I334" s="23">
        <v>0.08</v>
      </c>
      <c r="J334" s="28">
        <f>Table2[[#This Row],[Quantity]]*Table2[[#This Row],[Unit_Price]]</f>
        <v>7200</v>
      </c>
      <c r="K334" s="31">
        <f t="shared" si="5"/>
        <v>6624</v>
      </c>
      <c r="L334" s="31">
        <f>Table2[[#This Row],[gross sales]]-Table2[[#This Row],[net sale]]</f>
        <v>576</v>
      </c>
      <c r="M334" s="36" t="str">
        <f>TEXT(B334,"mmm")</f>
        <v>Jun</v>
      </c>
    </row>
    <row r="335" spans="1:13">
      <c r="A335" s="19">
        <v>1334</v>
      </c>
      <c r="B335" s="18">
        <v>45923</v>
      </c>
      <c r="C335" s="19" t="s">
        <v>37</v>
      </c>
      <c r="D335" s="19" t="s">
        <v>36</v>
      </c>
      <c r="E335" s="19" t="s">
        <v>11</v>
      </c>
      <c r="F335" s="19" t="s">
        <v>12</v>
      </c>
      <c r="G335" s="19">
        <v>10</v>
      </c>
      <c r="H335" s="20">
        <v>1800</v>
      </c>
      <c r="I335" s="24">
        <v>0</v>
      </c>
      <c r="J335" s="28">
        <f>Table2[[#This Row],[Quantity]]*Table2[[#This Row],[Unit_Price]]</f>
        <v>18000</v>
      </c>
      <c r="K335" s="31">
        <f t="shared" si="5"/>
        <v>18000</v>
      </c>
      <c r="L335" s="31">
        <f>Table2[[#This Row],[gross sales]]-Table2[[#This Row],[net sale]]</f>
        <v>0</v>
      </c>
      <c r="M335" s="37" t="str">
        <f>TEXT(B335,"mmm")</f>
        <v>Sep</v>
      </c>
    </row>
    <row r="336" spans="1:13">
      <c r="A336" s="16">
        <v>1335</v>
      </c>
      <c r="B336" s="15">
        <v>45983</v>
      </c>
      <c r="C336" s="16" t="s">
        <v>25</v>
      </c>
      <c r="D336" s="16" t="s">
        <v>26</v>
      </c>
      <c r="E336" s="16" t="s">
        <v>11</v>
      </c>
      <c r="F336" s="16" t="s">
        <v>24</v>
      </c>
      <c r="G336" s="16">
        <v>9</v>
      </c>
      <c r="H336" s="17">
        <v>11000</v>
      </c>
      <c r="I336" s="23">
        <v>0.05</v>
      </c>
      <c r="J336" s="28">
        <f>Table2[[#This Row],[Quantity]]*Table2[[#This Row],[Unit_Price]]</f>
        <v>99000</v>
      </c>
      <c r="K336" s="31">
        <f t="shared" si="5"/>
        <v>94050</v>
      </c>
      <c r="L336" s="31">
        <f>Table2[[#This Row],[gross sales]]-Table2[[#This Row],[net sale]]</f>
        <v>4950</v>
      </c>
      <c r="M336" s="36" t="str">
        <f>TEXT(B336,"mmm")</f>
        <v>Nov</v>
      </c>
    </row>
    <row r="337" spans="1:13">
      <c r="A337" s="19">
        <v>1336</v>
      </c>
      <c r="B337" s="18">
        <v>45915</v>
      </c>
      <c r="C337" s="19" t="s">
        <v>29</v>
      </c>
      <c r="D337" s="19" t="s">
        <v>30</v>
      </c>
      <c r="E337" s="19" t="s">
        <v>17</v>
      </c>
      <c r="F337" s="19" t="s">
        <v>32</v>
      </c>
      <c r="G337" s="19">
        <v>6</v>
      </c>
      <c r="H337" s="19">
        <v>250</v>
      </c>
      <c r="I337" s="24">
        <v>0.12</v>
      </c>
      <c r="J337" s="28">
        <f>Table2[[#This Row],[Quantity]]*Table2[[#This Row],[Unit_Price]]</f>
        <v>1500</v>
      </c>
      <c r="K337" s="31">
        <f t="shared" si="5"/>
        <v>1320</v>
      </c>
      <c r="L337" s="31">
        <f>Table2[[#This Row],[gross sales]]-Table2[[#This Row],[net sale]]</f>
        <v>180</v>
      </c>
      <c r="M337" s="37" t="str">
        <f>TEXT(B337,"mmm")</f>
        <v>Sep</v>
      </c>
    </row>
    <row r="338" spans="1:13">
      <c r="A338" s="16">
        <v>1337</v>
      </c>
      <c r="B338" s="15">
        <v>45995</v>
      </c>
      <c r="C338" s="16" t="s">
        <v>28</v>
      </c>
      <c r="D338" s="16" t="s">
        <v>26</v>
      </c>
      <c r="E338" s="16" t="s">
        <v>14</v>
      </c>
      <c r="F338" s="16" t="s">
        <v>18</v>
      </c>
      <c r="G338" s="16">
        <v>20</v>
      </c>
      <c r="H338" s="17">
        <v>9000</v>
      </c>
      <c r="I338" s="23">
        <v>0.08</v>
      </c>
      <c r="J338" s="28">
        <f>Table2[[#This Row],[Quantity]]*Table2[[#This Row],[Unit_Price]]</f>
        <v>180000</v>
      </c>
      <c r="K338" s="31">
        <f t="shared" si="5"/>
        <v>165600</v>
      </c>
      <c r="L338" s="31">
        <f>Table2[[#This Row],[gross sales]]-Table2[[#This Row],[net sale]]</f>
        <v>14400</v>
      </c>
      <c r="M338" s="36" t="str">
        <f>TEXT(B338,"mmm")</f>
        <v>Dec</v>
      </c>
    </row>
    <row r="339" spans="1:13">
      <c r="A339" s="19">
        <v>1338</v>
      </c>
      <c r="B339" s="18">
        <v>45699</v>
      </c>
      <c r="C339" s="19" t="s">
        <v>16</v>
      </c>
      <c r="D339" s="19" t="s">
        <v>10</v>
      </c>
      <c r="E339" s="19" t="s">
        <v>17</v>
      </c>
      <c r="F339" s="19" t="s">
        <v>15</v>
      </c>
      <c r="G339" s="19">
        <v>19</v>
      </c>
      <c r="H339" s="20">
        <v>55000</v>
      </c>
      <c r="I339" s="24">
        <v>0.08</v>
      </c>
      <c r="J339" s="28">
        <f>Table2[[#This Row],[Quantity]]*Table2[[#This Row],[Unit_Price]]</f>
        <v>1045000</v>
      </c>
      <c r="K339" s="31">
        <f t="shared" si="5"/>
        <v>961400</v>
      </c>
      <c r="L339" s="31">
        <f>Table2[[#This Row],[gross sales]]-Table2[[#This Row],[net sale]]</f>
        <v>83600</v>
      </c>
      <c r="M339" s="37" t="str">
        <f>TEXT(B339,"mmm")</f>
        <v>Feb</v>
      </c>
    </row>
    <row r="340" spans="1:13">
      <c r="A340" s="16">
        <v>1339</v>
      </c>
      <c r="B340" s="15">
        <v>45974</v>
      </c>
      <c r="C340" s="16" t="s">
        <v>29</v>
      </c>
      <c r="D340" s="16" t="s">
        <v>30</v>
      </c>
      <c r="E340" s="16" t="s">
        <v>11</v>
      </c>
      <c r="F340" s="16" t="s">
        <v>27</v>
      </c>
      <c r="G340" s="16">
        <v>1</v>
      </c>
      <c r="H340" s="16">
        <v>250</v>
      </c>
      <c r="I340" s="23">
        <v>0.1</v>
      </c>
      <c r="J340" s="28">
        <f>Table2[[#This Row],[Quantity]]*Table2[[#This Row],[Unit_Price]]</f>
        <v>250</v>
      </c>
      <c r="K340" s="31">
        <f t="shared" si="5"/>
        <v>225</v>
      </c>
      <c r="L340" s="31">
        <f>Table2[[#This Row],[gross sales]]-Table2[[#This Row],[net sale]]</f>
        <v>25</v>
      </c>
      <c r="M340" s="36" t="str">
        <f>TEXT(B340,"mmm")</f>
        <v>Nov</v>
      </c>
    </row>
    <row r="341" spans="1:13">
      <c r="A341" s="19">
        <v>1340</v>
      </c>
      <c r="B341" s="18">
        <v>45905</v>
      </c>
      <c r="C341" s="19" t="s">
        <v>19</v>
      </c>
      <c r="D341" s="19" t="s">
        <v>10</v>
      </c>
      <c r="E341" s="19" t="s">
        <v>22</v>
      </c>
      <c r="F341" s="19" t="s">
        <v>24</v>
      </c>
      <c r="G341" s="19">
        <v>13</v>
      </c>
      <c r="H341" s="19">
        <v>800</v>
      </c>
      <c r="I341" s="24">
        <v>0.08</v>
      </c>
      <c r="J341" s="28">
        <f>Table2[[#This Row],[Quantity]]*Table2[[#This Row],[Unit_Price]]</f>
        <v>10400</v>
      </c>
      <c r="K341" s="31">
        <f t="shared" si="5"/>
        <v>9568</v>
      </c>
      <c r="L341" s="31">
        <f>Table2[[#This Row],[gross sales]]-Table2[[#This Row],[net sale]]</f>
        <v>832</v>
      </c>
      <c r="M341" s="37" t="str">
        <f>TEXT(B341,"mmm")</f>
        <v>Sep</v>
      </c>
    </row>
    <row r="342" spans="1:13">
      <c r="A342" s="16">
        <v>1341</v>
      </c>
      <c r="B342" s="15">
        <v>46010</v>
      </c>
      <c r="C342" s="16" t="s">
        <v>16</v>
      </c>
      <c r="D342" s="16" t="s">
        <v>10</v>
      </c>
      <c r="E342" s="16" t="s">
        <v>22</v>
      </c>
      <c r="F342" s="16" t="s">
        <v>20</v>
      </c>
      <c r="G342" s="16">
        <v>6</v>
      </c>
      <c r="H342" s="17">
        <v>55000</v>
      </c>
      <c r="I342" s="23">
        <v>0.1</v>
      </c>
      <c r="J342" s="28">
        <f>Table2[[#This Row],[Quantity]]*Table2[[#This Row],[Unit_Price]]</f>
        <v>330000</v>
      </c>
      <c r="K342" s="31">
        <f t="shared" si="5"/>
        <v>297000</v>
      </c>
      <c r="L342" s="31">
        <f>Table2[[#This Row],[gross sales]]-Table2[[#This Row],[net sale]]</f>
        <v>33000</v>
      </c>
      <c r="M342" s="36" t="str">
        <f>TEXT(B342,"mmm")</f>
        <v>Dec</v>
      </c>
    </row>
    <row r="343" spans="1:13">
      <c r="A343" s="19">
        <v>1342</v>
      </c>
      <c r="B343" s="18">
        <v>45895</v>
      </c>
      <c r="C343" s="19" t="s">
        <v>19</v>
      </c>
      <c r="D343" s="19" t="s">
        <v>10</v>
      </c>
      <c r="E343" s="19" t="s">
        <v>17</v>
      </c>
      <c r="F343" s="19" t="s">
        <v>23</v>
      </c>
      <c r="G343" s="19">
        <v>11</v>
      </c>
      <c r="H343" s="19">
        <v>800</v>
      </c>
      <c r="I343" s="24">
        <v>0.12</v>
      </c>
      <c r="J343" s="28">
        <f>Table2[[#This Row],[Quantity]]*Table2[[#This Row],[Unit_Price]]</f>
        <v>8800</v>
      </c>
      <c r="K343" s="31">
        <f t="shared" si="5"/>
        <v>7744</v>
      </c>
      <c r="L343" s="31">
        <f>Table2[[#This Row],[gross sales]]-Table2[[#This Row],[net sale]]</f>
        <v>1056</v>
      </c>
      <c r="M343" s="37" t="str">
        <f>TEXT(B343,"mmm")</f>
        <v>Aug</v>
      </c>
    </row>
    <row r="344" spans="1:13">
      <c r="A344" s="16">
        <v>1343</v>
      </c>
      <c r="B344" s="15">
        <v>45821</v>
      </c>
      <c r="C344" s="16" t="s">
        <v>39</v>
      </c>
      <c r="D344" s="16" t="s">
        <v>30</v>
      </c>
      <c r="E344" s="16" t="s">
        <v>17</v>
      </c>
      <c r="F344" s="16" t="s">
        <v>23</v>
      </c>
      <c r="G344" s="16">
        <v>12</v>
      </c>
      <c r="H344" s="16">
        <v>180</v>
      </c>
      <c r="I344" s="23">
        <v>0.1</v>
      </c>
      <c r="J344" s="28">
        <f>Table2[[#This Row],[Quantity]]*Table2[[#This Row],[Unit_Price]]</f>
        <v>2160</v>
      </c>
      <c r="K344" s="31">
        <f t="shared" si="5"/>
        <v>1944</v>
      </c>
      <c r="L344" s="31">
        <f>Table2[[#This Row],[gross sales]]-Table2[[#This Row],[net sale]]</f>
        <v>216</v>
      </c>
      <c r="M344" s="36" t="str">
        <f>TEXT(B344,"mmm")</f>
        <v>Jun</v>
      </c>
    </row>
    <row r="345" spans="1:13">
      <c r="A345" s="19">
        <v>1344</v>
      </c>
      <c r="B345" s="18">
        <v>45921</v>
      </c>
      <c r="C345" s="19" t="s">
        <v>25</v>
      </c>
      <c r="D345" s="19" t="s">
        <v>26</v>
      </c>
      <c r="E345" s="19" t="s">
        <v>17</v>
      </c>
      <c r="F345" s="19" t="s">
        <v>20</v>
      </c>
      <c r="G345" s="19">
        <v>4</v>
      </c>
      <c r="H345" s="20">
        <v>11000</v>
      </c>
      <c r="I345" s="24">
        <v>0.08</v>
      </c>
      <c r="J345" s="28">
        <f>Table2[[#This Row],[Quantity]]*Table2[[#This Row],[Unit_Price]]</f>
        <v>44000</v>
      </c>
      <c r="K345" s="31">
        <f t="shared" si="5"/>
        <v>40480</v>
      </c>
      <c r="L345" s="31">
        <f>Table2[[#This Row],[gross sales]]-Table2[[#This Row],[net sale]]</f>
        <v>3520</v>
      </c>
      <c r="M345" s="37" t="str">
        <f>TEXT(B345,"mmm")</f>
        <v>Sep</v>
      </c>
    </row>
    <row r="346" spans="1:13">
      <c r="A346" s="16">
        <v>1345</v>
      </c>
      <c r="B346" s="15">
        <v>45720</v>
      </c>
      <c r="C346" s="16" t="s">
        <v>21</v>
      </c>
      <c r="D346" s="16" t="s">
        <v>10</v>
      </c>
      <c r="E346" s="16" t="s">
        <v>17</v>
      </c>
      <c r="F346" s="16" t="s">
        <v>24</v>
      </c>
      <c r="G346" s="16">
        <v>15</v>
      </c>
      <c r="H346" s="17">
        <v>14000</v>
      </c>
      <c r="I346" s="23">
        <v>0.05</v>
      </c>
      <c r="J346" s="28">
        <f>Table2[[#This Row],[Quantity]]*Table2[[#This Row],[Unit_Price]]</f>
        <v>210000</v>
      </c>
      <c r="K346" s="31">
        <f t="shared" si="5"/>
        <v>199500</v>
      </c>
      <c r="L346" s="31">
        <f>Table2[[#This Row],[gross sales]]-Table2[[#This Row],[net sale]]</f>
        <v>10500</v>
      </c>
      <c r="M346" s="36" t="str">
        <f>TEXT(B346,"mmm")</f>
        <v>Mar</v>
      </c>
    </row>
    <row r="347" spans="1:13">
      <c r="A347" s="19">
        <v>1346</v>
      </c>
      <c r="B347" s="18">
        <v>45683</v>
      </c>
      <c r="C347" s="19" t="s">
        <v>21</v>
      </c>
      <c r="D347" s="19" t="s">
        <v>10</v>
      </c>
      <c r="E347" s="19" t="s">
        <v>22</v>
      </c>
      <c r="F347" s="19" t="s">
        <v>12</v>
      </c>
      <c r="G347" s="19">
        <v>13</v>
      </c>
      <c r="H347" s="20">
        <v>14000</v>
      </c>
      <c r="I347" s="24">
        <v>0.12</v>
      </c>
      <c r="J347" s="28">
        <f>Table2[[#This Row],[Quantity]]*Table2[[#This Row],[Unit_Price]]</f>
        <v>182000</v>
      </c>
      <c r="K347" s="31">
        <f t="shared" si="5"/>
        <v>160160</v>
      </c>
      <c r="L347" s="31">
        <f>Table2[[#This Row],[gross sales]]-Table2[[#This Row],[net sale]]</f>
        <v>21840</v>
      </c>
      <c r="M347" s="37" t="str">
        <f>TEXT(B347,"mmm")</f>
        <v>Jan</v>
      </c>
    </row>
    <row r="348" spans="1:13">
      <c r="A348" s="16">
        <v>1347</v>
      </c>
      <c r="B348" s="15">
        <v>45739</v>
      </c>
      <c r="C348" s="16" t="s">
        <v>38</v>
      </c>
      <c r="D348" s="16" t="s">
        <v>10</v>
      </c>
      <c r="E348" s="16" t="s">
        <v>11</v>
      </c>
      <c r="F348" s="16" t="s">
        <v>12</v>
      </c>
      <c r="G348" s="16">
        <v>11</v>
      </c>
      <c r="H348" s="17">
        <v>42000</v>
      </c>
      <c r="I348" s="23">
        <v>0.12</v>
      </c>
      <c r="J348" s="28">
        <f>Table2[[#This Row],[Quantity]]*Table2[[#This Row],[Unit_Price]]</f>
        <v>462000</v>
      </c>
      <c r="K348" s="31">
        <f t="shared" si="5"/>
        <v>406560</v>
      </c>
      <c r="L348" s="31">
        <f>Table2[[#This Row],[gross sales]]-Table2[[#This Row],[net sale]]</f>
        <v>55440</v>
      </c>
      <c r="M348" s="36" t="str">
        <f>TEXT(B348,"mmm")</f>
        <v>Mar</v>
      </c>
    </row>
    <row r="349" spans="1:13">
      <c r="A349" s="19">
        <v>1348</v>
      </c>
      <c r="B349" s="18">
        <v>45739</v>
      </c>
      <c r="C349" s="19" t="s">
        <v>34</v>
      </c>
      <c r="D349" s="19" t="s">
        <v>26</v>
      </c>
      <c r="E349" s="19" t="s">
        <v>22</v>
      </c>
      <c r="F349" s="19" t="s">
        <v>27</v>
      </c>
      <c r="G349" s="19">
        <v>17</v>
      </c>
      <c r="H349" s="20">
        <v>15000</v>
      </c>
      <c r="I349" s="24">
        <v>0.1</v>
      </c>
      <c r="J349" s="28">
        <f>Table2[[#This Row],[Quantity]]*Table2[[#This Row],[Unit_Price]]</f>
        <v>255000</v>
      </c>
      <c r="K349" s="31">
        <f t="shared" si="5"/>
        <v>229500</v>
      </c>
      <c r="L349" s="31">
        <f>Table2[[#This Row],[gross sales]]-Table2[[#This Row],[net sale]]</f>
        <v>25500</v>
      </c>
      <c r="M349" s="37" t="str">
        <f>TEXT(B349,"mmm")</f>
        <v>Mar</v>
      </c>
    </row>
    <row r="350" spans="1:13">
      <c r="A350" s="16">
        <v>1349</v>
      </c>
      <c r="B350" s="15">
        <v>45912</v>
      </c>
      <c r="C350" s="16" t="s">
        <v>16</v>
      </c>
      <c r="D350" s="16" t="s">
        <v>10</v>
      </c>
      <c r="E350" s="16" t="s">
        <v>22</v>
      </c>
      <c r="F350" s="16" t="s">
        <v>12</v>
      </c>
      <c r="G350" s="16">
        <v>3</v>
      </c>
      <c r="H350" s="17">
        <v>55000</v>
      </c>
      <c r="I350" s="23">
        <v>0.1</v>
      </c>
      <c r="J350" s="28">
        <f>Table2[[#This Row],[Quantity]]*Table2[[#This Row],[Unit_Price]]</f>
        <v>165000</v>
      </c>
      <c r="K350" s="31">
        <f t="shared" si="5"/>
        <v>148500</v>
      </c>
      <c r="L350" s="31">
        <f>Table2[[#This Row],[gross sales]]-Table2[[#This Row],[net sale]]</f>
        <v>16500</v>
      </c>
      <c r="M350" s="36" t="str">
        <f>TEXT(B350,"mmm")</f>
        <v>Sep</v>
      </c>
    </row>
    <row r="351" spans="1:13">
      <c r="A351" s="19">
        <v>1350</v>
      </c>
      <c r="B351" s="18">
        <v>45768</v>
      </c>
      <c r="C351" s="19" t="s">
        <v>28</v>
      </c>
      <c r="D351" s="19" t="s">
        <v>26</v>
      </c>
      <c r="E351" s="19" t="s">
        <v>14</v>
      </c>
      <c r="F351" s="19" t="s">
        <v>27</v>
      </c>
      <c r="G351" s="19">
        <v>12</v>
      </c>
      <c r="H351" s="20">
        <v>9000</v>
      </c>
      <c r="I351" s="24">
        <v>0</v>
      </c>
      <c r="J351" s="28">
        <f>Table2[[#This Row],[Quantity]]*Table2[[#This Row],[Unit_Price]]</f>
        <v>108000</v>
      </c>
      <c r="K351" s="31">
        <f t="shared" si="5"/>
        <v>108000</v>
      </c>
      <c r="L351" s="31">
        <f>Table2[[#This Row],[gross sales]]-Table2[[#This Row],[net sale]]</f>
        <v>0</v>
      </c>
      <c r="M351" s="37" t="str">
        <f>TEXT(B351,"mmm")</f>
        <v>Apr</v>
      </c>
    </row>
    <row r="352" spans="1:13">
      <c r="A352" s="16">
        <v>1351</v>
      </c>
      <c r="B352" s="15">
        <v>45911</v>
      </c>
      <c r="C352" s="16" t="s">
        <v>28</v>
      </c>
      <c r="D352" s="16" t="s">
        <v>26</v>
      </c>
      <c r="E352" s="16" t="s">
        <v>14</v>
      </c>
      <c r="F352" s="16" t="s">
        <v>24</v>
      </c>
      <c r="G352" s="16">
        <v>16</v>
      </c>
      <c r="H352" s="17">
        <v>9000</v>
      </c>
      <c r="I352" s="23">
        <v>0.08</v>
      </c>
      <c r="J352" s="28">
        <f>Table2[[#This Row],[Quantity]]*Table2[[#This Row],[Unit_Price]]</f>
        <v>144000</v>
      </c>
      <c r="K352" s="31">
        <f t="shared" si="5"/>
        <v>132480</v>
      </c>
      <c r="L352" s="31">
        <f>Table2[[#This Row],[gross sales]]-Table2[[#This Row],[net sale]]</f>
        <v>11520</v>
      </c>
      <c r="M352" s="36" t="str">
        <f>TEXT(B352,"mmm")</f>
        <v>Sep</v>
      </c>
    </row>
    <row r="353" spans="1:13">
      <c r="A353" s="19">
        <v>1352</v>
      </c>
      <c r="B353" s="18">
        <v>45878</v>
      </c>
      <c r="C353" s="19" t="s">
        <v>13</v>
      </c>
      <c r="D353" s="19" t="s">
        <v>10</v>
      </c>
      <c r="E353" s="19" t="s">
        <v>11</v>
      </c>
      <c r="F353" s="19" t="s">
        <v>15</v>
      </c>
      <c r="G353" s="19">
        <v>9</v>
      </c>
      <c r="H353" s="20">
        <v>1200</v>
      </c>
      <c r="I353" s="24">
        <v>0.15</v>
      </c>
      <c r="J353" s="28">
        <f>Table2[[#This Row],[Quantity]]*Table2[[#This Row],[Unit_Price]]</f>
        <v>10800</v>
      </c>
      <c r="K353" s="31">
        <f t="shared" si="5"/>
        <v>9180</v>
      </c>
      <c r="L353" s="31">
        <f>Table2[[#This Row],[gross sales]]-Table2[[#This Row],[net sale]]</f>
        <v>1620</v>
      </c>
      <c r="M353" s="37" t="str">
        <f>TEXT(B353,"mmm")</f>
        <v>Aug</v>
      </c>
    </row>
    <row r="354" spans="1:13">
      <c r="A354" s="16">
        <v>1353</v>
      </c>
      <c r="B354" s="15">
        <v>45845</v>
      </c>
      <c r="C354" s="16" t="s">
        <v>16</v>
      </c>
      <c r="D354" s="16" t="s">
        <v>10</v>
      </c>
      <c r="E354" s="16" t="s">
        <v>17</v>
      </c>
      <c r="F354" s="16" t="s">
        <v>23</v>
      </c>
      <c r="G354" s="16">
        <v>13</v>
      </c>
      <c r="H354" s="17">
        <v>55000</v>
      </c>
      <c r="I354" s="23">
        <v>0</v>
      </c>
      <c r="J354" s="28">
        <f>Table2[[#This Row],[Quantity]]*Table2[[#This Row],[Unit_Price]]</f>
        <v>715000</v>
      </c>
      <c r="K354" s="31">
        <f t="shared" si="5"/>
        <v>715000</v>
      </c>
      <c r="L354" s="31">
        <f>Table2[[#This Row],[gross sales]]-Table2[[#This Row],[net sale]]</f>
        <v>0</v>
      </c>
      <c r="M354" s="36" t="str">
        <f>TEXT(B354,"mmm")</f>
        <v>Jul</v>
      </c>
    </row>
    <row r="355" spans="1:13">
      <c r="A355" s="19">
        <v>1354</v>
      </c>
      <c r="B355" s="18">
        <v>45941</v>
      </c>
      <c r="C355" s="19" t="s">
        <v>21</v>
      </c>
      <c r="D355" s="19" t="s">
        <v>10</v>
      </c>
      <c r="E355" s="19" t="s">
        <v>22</v>
      </c>
      <c r="F355" s="19" t="s">
        <v>27</v>
      </c>
      <c r="G355" s="19">
        <v>3</v>
      </c>
      <c r="H355" s="20">
        <v>14000</v>
      </c>
      <c r="I355" s="24">
        <v>0.1</v>
      </c>
      <c r="J355" s="28">
        <f>Table2[[#This Row],[Quantity]]*Table2[[#This Row],[Unit_Price]]</f>
        <v>42000</v>
      </c>
      <c r="K355" s="31">
        <f t="shared" si="5"/>
        <v>37800</v>
      </c>
      <c r="L355" s="31">
        <f>Table2[[#This Row],[gross sales]]-Table2[[#This Row],[net sale]]</f>
        <v>4200</v>
      </c>
      <c r="M355" s="37" t="str">
        <f>TEXT(B355,"mmm")</f>
        <v>Oct</v>
      </c>
    </row>
    <row r="356" spans="1:13">
      <c r="A356" s="16">
        <v>1355</v>
      </c>
      <c r="B356" s="15">
        <v>45977</v>
      </c>
      <c r="C356" s="16" t="s">
        <v>29</v>
      </c>
      <c r="D356" s="16" t="s">
        <v>30</v>
      </c>
      <c r="E356" s="16" t="s">
        <v>17</v>
      </c>
      <c r="F356" s="16" t="s">
        <v>24</v>
      </c>
      <c r="G356" s="16">
        <v>20</v>
      </c>
      <c r="H356" s="16">
        <v>250</v>
      </c>
      <c r="I356" s="23">
        <v>0</v>
      </c>
      <c r="J356" s="28">
        <f>Table2[[#This Row],[Quantity]]*Table2[[#This Row],[Unit_Price]]</f>
        <v>5000</v>
      </c>
      <c r="K356" s="31">
        <f t="shared" si="5"/>
        <v>5000</v>
      </c>
      <c r="L356" s="31">
        <f>Table2[[#This Row],[gross sales]]-Table2[[#This Row],[net sale]]</f>
        <v>0</v>
      </c>
      <c r="M356" s="36" t="str">
        <f>TEXT(B356,"mmm")</f>
        <v>Nov</v>
      </c>
    </row>
    <row r="357" spans="1:13">
      <c r="A357" s="19">
        <v>1356</v>
      </c>
      <c r="B357" s="18">
        <v>45859</v>
      </c>
      <c r="C357" s="19" t="s">
        <v>33</v>
      </c>
      <c r="D357" s="19" t="s">
        <v>10</v>
      </c>
      <c r="E357" s="19" t="s">
        <v>11</v>
      </c>
      <c r="F357" s="19" t="s">
        <v>32</v>
      </c>
      <c r="G357" s="19">
        <v>11</v>
      </c>
      <c r="H357" s="20">
        <v>2500</v>
      </c>
      <c r="I357" s="24">
        <v>0.12</v>
      </c>
      <c r="J357" s="28">
        <f>Table2[[#This Row],[Quantity]]*Table2[[#This Row],[Unit_Price]]</f>
        <v>27500</v>
      </c>
      <c r="K357" s="31">
        <f t="shared" si="5"/>
        <v>24200</v>
      </c>
      <c r="L357" s="31">
        <f>Table2[[#This Row],[gross sales]]-Table2[[#This Row],[net sale]]</f>
        <v>3300</v>
      </c>
      <c r="M357" s="37" t="str">
        <f>TEXT(B357,"mmm")</f>
        <v>Jul</v>
      </c>
    </row>
    <row r="358" spans="1:13">
      <c r="A358" s="16">
        <v>1357</v>
      </c>
      <c r="B358" s="15">
        <v>45759</v>
      </c>
      <c r="C358" s="16" t="s">
        <v>28</v>
      </c>
      <c r="D358" s="16" t="s">
        <v>26</v>
      </c>
      <c r="E358" s="16" t="s">
        <v>14</v>
      </c>
      <c r="F358" s="16" t="s">
        <v>18</v>
      </c>
      <c r="G358" s="16">
        <v>17</v>
      </c>
      <c r="H358" s="17">
        <v>9000</v>
      </c>
      <c r="I358" s="23">
        <v>0.1</v>
      </c>
      <c r="J358" s="28">
        <f>Table2[[#This Row],[Quantity]]*Table2[[#This Row],[Unit_Price]]</f>
        <v>153000</v>
      </c>
      <c r="K358" s="31">
        <f t="shared" si="5"/>
        <v>137700</v>
      </c>
      <c r="L358" s="31">
        <f>Table2[[#This Row],[gross sales]]-Table2[[#This Row],[net sale]]</f>
        <v>15300</v>
      </c>
      <c r="M358" s="36" t="str">
        <f>TEXT(B358,"mmm")</f>
        <v>Apr</v>
      </c>
    </row>
    <row r="359" spans="1:13">
      <c r="A359" s="19">
        <v>1358</v>
      </c>
      <c r="B359" s="18">
        <v>45677</v>
      </c>
      <c r="C359" s="19" t="s">
        <v>13</v>
      </c>
      <c r="D359" s="19" t="s">
        <v>10</v>
      </c>
      <c r="E359" s="19" t="s">
        <v>22</v>
      </c>
      <c r="F359" s="19" t="s">
        <v>32</v>
      </c>
      <c r="G359" s="19">
        <v>11</v>
      </c>
      <c r="H359" s="20">
        <v>1200</v>
      </c>
      <c r="I359" s="24">
        <v>0.1</v>
      </c>
      <c r="J359" s="28">
        <f>Table2[[#This Row],[Quantity]]*Table2[[#This Row],[Unit_Price]]</f>
        <v>13200</v>
      </c>
      <c r="K359" s="31">
        <f t="shared" si="5"/>
        <v>11880</v>
      </c>
      <c r="L359" s="31">
        <f>Table2[[#This Row],[gross sales]]-Table2[[#This Row],[net sale]]</f>
        <v>1320</v>
      </c>
      <c r="M359" s="37" t="str">
        <f>TEXT(B359,"mmm")</f>
        <v>Jan</v>
      </c>
    </row>
    <row r="360" spans="1:13">
      <c r="A360" s="16">
        <v>1359</v>
      </c>
      <c r="B360" s="15">
        <v>45968</v>
      </c>
      <c r="C360" s="16" t="s">
        <v>37</v>
      </c>
      <c r="D360" s="16" t="s">
        <v>36</v>
      </c>
      <c r="E360" s="16" t="s">
        <v>11</v>
      </c>
      <c r="F360" s="16" t="s">
        <v>23</v>
      </c>
      <c r="G360" s="16">
        <v>17</v>
      </c>
      <c r="H360" s="17">
        <v>1800</v>
      </c>
      <c r="I360" s="23">
        <v>0.05</v>
      </c>
      <c r="J360" s="28">
        <f>Table2[[#This Row],[Quantity]]*Table2[[#This Row],[Unit_Price]]</f>
        <v>30600</v>
      </c>
      <c r="K360" s="31">
        <f t="shared" si="5"/>
        <v>29070</v>
      </c>
      <c r="L360" s="31">
        <f>Table2[[#This Row],[gross sales]]-Table2[[#This Row],[net sale]]</f>
        <v>1530</v>
      </c>
      <c r="M360" s="36" t="str">
        <f>TEXT(B360,"mmm")</f>
        <v>Nov</v>
      </c>
    </row>
    <row r="361" spans="1:13">
      <c r="A361" s="19">
        <v>1360</v>
      </c>
      <c r="B361" s="18">
        <v>45741</v>
      </c>
      <c r="C361" s="19" t="s">
        <v>31</v>
      </c>
      <c r="D361" s="19" t="s">
        <v>26</v>
      </c>
      <c r="E361" s="19" t="s">
        <v>11</v>
      </c>
      <c r="F361" s="19" t="s">
        <v>23</v>
      </c>
      <c r="G361" s="19">
        <v>20</v>
      </c>
      <c r="H361" s="20">
        <v>8500</v>
      </c>
      <c r="I361" s="24">
        <v>0.15</v>
      </c>
      <c r="J361" s="28">
        <f>Table2[[#This Row],[Quantity]]*Table2[[#This Row],[Unit_Price]]</f>
        <v>170000</v>
      </c>
      <c r="K361" s="31">
        <f t="shared" si="5"/>
        <v>144500</v>
      </c>
      <c r="L361" s="31">
        <f>Table2[[#This Row],[gross sales]]-Table2[[#This Row],[net sale]]</f>
        <v>25500</v>
      </c>
      <c r="M361" s="37" t="str">
        <f>TEXT(B361,"mmm")</f>
        <v>Mar</v>
      </c>
    </row>
    <row r="362" spans="1:13">
      <c r="A362" s="16">
        <v>1361</v>
      </c>
      <c r="B362" s="15">
        <v>45917</v>
      </c>
      <c r="C362" s="16" t="s">
        <v>38</v>
      </c>
      <c r="D362" s="16" t="s">
        <v>10</v>
      </c>
      <c r="E362" s="16" t="s">
        <v>22</v>
      </c>
      <c r="F362" s="16" t="s">
        <v>27</v>
      </c>
      <c r="G362" s="16">
        <v>17</v>
      </c>
      <c r="H362" s="17">
        <v>42000</v>
      </c>
      <c r="I362" s="23">
        <v>0.12</v>
      </c>
      <c r="J362" s="28">
        <f>Table2[[#This Row],[Quantity]]*Table2[[#This Row],[Unit_Price]]</f>
        <v>714000</v>
      </c>
      <c r="K362" s="31">
        <f t="shared" si="5"/>
        <v>628320</v>
      </c>
      <c r="L362" s="31">
        <f>Table2[[#This Row],[gross sales]]-Table2[[#This Row],[net sale]]</f>
        <v>85680</v>
      </c>
      <c r="M362" s="36" t="str">
        <f>TEXT(B362,"mmm")</f>
        <v>Sep</v>
      </c>
    </row>
    <row r="363" spans="1:13">
      <c r="A363" s="19">
        <v>1362</v>
      </c>
      <c r="B363" s="18">
        <v>45901</v>
      </c>
      <c r="C363" s="19" t="s">
        <v>38</v>
      </c>
      <c r="D363" s="19" t="s">
        <v>10</v>
      </c>
      <c r="E363" s="19" t="s">
        <v>11</v>
      </c>
      <c r="F363" s="19" t="s">
        <v>24</v>
      </c>
      <c r="G363" s="19">
        <v>1</v>
      </c>
      <c r="H363" s="20">
        <v>42000</v>
      </c>
      <c r="I363" s="24">
        <v>0.08</v>
      </c>
      <c r="J363" s="28">
        <f>Table2[[#This Row],[Quantity]]*Table2[[#This Row],[Unit_Price]]</f>
        <v>42000</v>
      </c>
      <c r="K363" s="31">
        <f t="shared" si="5"/>
        <v>38640</v>
      </c>
      <c r="L363" s="31">
        <f>Table2[[#This Row],[gross sales]]-Table2[[#This Row],[net sale]]</f>
        <v>3360</v>
      </c>
      <c r="M363" s="37" t="str">
        <f>TEXT(B363,"mmm")</f>
        <v>Sep</v>
      </c>
    </row>
    <row r="364" spans="1:13">
      <c r="A364" s="16">
        <v>1363</v>
      </c>
      <c r="B364" s="15">
        <v>45871</v>
      </c>
      <c r="C364" s="16" t="s">
        <v>28</v>
      </c>
      <c r="D364" s="16" t="s">
        <v>26</v>
      </c>
      <c r="E364" s="16" t="s">
        <v>14</v>
      </c>
      <c r="F364" s="16" t="s">
        <v>20</v>
      </c>
      <c r="G364" s="16">
        <v>10</v>
      </c>
      <c r="H364" s="17">
        <v>9000</v>
      </c>
      <c r="I364" s="23">
        <v>0.15</v>
      </c>
      <c r="J364" s="28">
        <f>Table2[[#This Row],[Quantity]]*Table2[[#This Row],[Unit_Price]]</f>
        <v>90000</v>
      </c>
      <c r="K364" s="31">
        <f t="shared" si="5"/>
        <v>76500</v>
      </c>
      <c r="L364" s="31">
        <f>Table2[[#This Row],[gross sales]]-Table2[[#This Row],[net sale]]</f>
        <v>13500</v>
      </c>
      <c r="M364" s="36" t="str">
        <f>TEXT(B364,"mmm")</f>
        <v>Aug</v>
      </c>
    </row>
    <row r="365" spans="1:13">
      <c r="A365" s="19">
        <v>1364</v>
      </c>
      <c r="B365" s="18">
        <v>45793</v>
      </c>
      <c r="C365" s="19" t="s">
        <v>29</v>
      </c>
      <c r="D365" s="19" t="s">
        <v>30</v>
      </c>
      <c r="E365" s="19" t="s">
        <v>17</v>
      </c>
      <c r="F365" s="19" t="s">
        <v>18</v>
      </c>
      <c r="G365" s="19">
        <v>19</v>
      </c>
      <c r="H365" s="19">
        <v>250</v>
      </c>
      <c r="I365" s="24">
        <v>0.12</v>
      </c>
      <c r="J365" s="28">
        <f>Table2[[#This Row],[Quantity]]*Table2[[#This Row],[Unit_Price]]</f>
        <v>4750</v>
      </c>
      <c r="K365" s="31">
        <f t="shared" si="5"/>
        <v>4180</v>
      </c>
      <c r="L365" s="31">
        <f>Table2[[#This Row],[gross sales]]-Table2[[#This Row],[net sale]]</f>
        <v>570</v>
      </c>
      <c r="M365" s="37" t="str">
        <f>TEXT(B365,"mmm")</f>
        <v>May</v>
      </c>
    </row>
    <row r="366" spans="1:13">
      <c r="A366" s="16">
        <v>1365</v>
      </c>
      <c r="B366" s="15">
        <v>45956</v>
      </c>
      <c r="C366" s="16" t="s">
        <v>34</v>
      </c>
      <c r="D366" s="16" t="s">
        <v>26</v>
      </c>
      <c r="E366" s="16" t="s">
        <v>22</v>
      </c>
      <c r="F366" s="16" t="s">
        <v>32</v>
      </c>
      <c r="G366" s="16">
        <v>6</v>
      </c>
      <c r="H366" s="17">
        <v>15000</v>
      </c>
      <c r="I366" s="23">
        <v>0.12</v>
      </c>
      <c r="J366" s="28">
        <f>Table2[[#This Row],[Quantity]]*Table2[[#This Row],[Unit_Price]]</f>
        <v>90000</v>
      </c>
      <c r="K366" s="31">
        <f t="shared" si="5"/>
        <v>79200</v>
      </c>
      <c r="L366" s="31">
        <f>Table2[[#This Row],[gross sales]]-Table2[[#This Row],[net sale]]</f>
        <v>10800</v>
      </c>
      <c r="M366" s="36" t="str">
        <f>TEXT(B366,"mmm")</f>
        <v>Oct</v>
      </c>
    </row>
    <row r="367" spans="1:13">
      <c r="A367" s="19">
        <v>1366</v>
      </c>
      <c r="B367" s="18">
        <v>46006</v>
      </c>
      <c r="C367" s="19" t="s">
        <v>19</v>
      </c>
      <c r="D367" s="19" t="s">
        <v>10</v>
      </c>
      <c r="E367" s="19" t="s">
        <v>14</v>
      </c>
      <c r="F367" s="19" t="s">
        <v>12</v>
      </c>
      <c r="G367" s="19">
        <v>2</v>
      </c>
      <c r="H367" s="19">
        <v>800</v>
      </c>
      <c r="I367" s="24">
        <v>0.12</v>
      </c>
      <c r="J367" s="28">
        <f>Table2[[#This Row],[Quantity]]*Table2[[#This Row],[Unit_Price]]</f>
        <v>1600</v>
      </c>
      <c r="K367" s="31">
        <f t="shared" si="5"/>
        <v>1408</v>
      </c>
      <c r="L367" s="31">
        <f>Table2[[#This Row],[gross sales]]-Table2[[#This Row],[net sale]]</f>
        <v>192</v>
      </c>
      <c r="M367" s="37" t="str">
        <f>TEXT(B367,"mmm")</f>
        <v>Dec</v>
      </c>
    </row>
    <row r="368" spans="1:13">
      <c r="A368" s="16">
        <v>1367</v>
      </c>
      <c r="B368" s="15">
        <v>45667</v>
      </c>
      <c r="C368" s="16" t="s">
        <v>34</v>
      </c>
      <c r="D368" s="16" t="s">
        <v>26</v>
      </c>
      <c r="E368" s="16" t="s">
        <v>17</v>
      </c>
      <c r="F368" s="16" t="s">
        <v>15</v>
      </c>
      <c r="G368" s="16">
        <v>11</v>
      </c>
      <c r="H368" s="17">
        <v>15000</v>
      </c>
      <c r="I368" s="23">
        <v>0.1</v>
      </c>
      <c r="J368" s="28">
        <f>Table2[[#This Row],[Quantity]]*Table2[[#This Row],[Unit_Price]]</f>
        <v>165000</v>
      </c>
      <c r="K368" s="31">
        <f t="shared" si="5"/>
        <v>148500</v>
      </c>
      <c r="L368" s="31">
        <f>Table2[[#This Row],[gross sales]]-Table2[[#This Row],[net sale]]</f>
        <v>16500</v>
      </c>
      <c r="M368" s="36" t="str">
        <f>TEXT(B368,"mmm")</f>
        <v>Jan</v>
      </c>
    </row>
    <row r="369" spans="1:13">
      <c r="A369" s="19">
        <v>1368</v>
      </c>
      <c r="B369" s="18">
        <v>46011</v>
      </c>
      <c r="C369" s="19" t="s">
        <v>19</v>
      </c>
      <c r="D369" s="19" t="s">
        <v>10</v>
      </c>
      <c r="E369" s="19" t="s">
        <v>22</v>
      </c>
      <c r="F369" s="19" t="s">
        <v>18</v>
      </c>
      <c r="G369" s="19">
        <v>14</v>
      </c>
      <c r="H369" s="19">
        <v>800</v>
      </c>
      <c r="I369" s="24">
        <v>0.12</v>
      </c>
      <c r="J369" s="28">
        <f>Table2[[#This Row],[Quantity]]*Table2[[#This Row],[Unit_Price]]</f>
        <v>11200</v>
      </c>
      <c r="K369" s="31">
        <f t="shared" si="5"/>
        <v>9856</v>
      </c>
      <c r="L369" s="31">
        <f>Table2[[#This Row],[gross sales]]-Table2[[#This Row],[net sale]]</f>
        <v>1344</v>
      </c>
      <c r="M369" s="37" t="str">
        <f>TEXT(B369,"mmm")</f>
        <v>Dec</v>
      </c>
    </row>
    <row r="370" spans="1:13">
      <c r="A370" s="16">
        <v>1369</v>
      </c>
      <c r="B370" s="15">
        <v>46019</v>
      </c>
      <c r="C370" s="16" t="s">
        <v>13</v>
      </c>
      <c r="D370" s="16" t="s">
        <v>10</v>
      </c>
      <c r="E370" s="16" t="s">
        <v>11</v>
      </c>
      <c r="F370" s="16" t="s">
        <v>20</v>
      </c>
      <c r="G370" s="16">
        <v>17</v>
      </c>
      <c r="H370" s="17">
        <v>1200</v>
      </c>
      <c r="I370" s="23">
        <v>0.05</v>
      </c>
      <c r="J370" s="28">
        <f>Table2[[#This Row],[Quantity]]*Table2[[#This Row],[Unit_Price]]</f>
        <v>20400</v>
      </c>
      <c r="K370" s="31">
        <f t="shared" si="5"/>
        <v>19380</v>
      </c>
      <c r="L370" s="31">
        <f>Table2[[#This Row],[gross sales]]-Table2[[#This Row],[net sale]]</f>
        <v>1020</v>
      </c>
      <c r="M370" s="36" t="str">
        <f>TEXT(B370,"mmm")</f>
        <v>Dec</v>
      </c>
    </row>
    <row r="371" spans="1:13">
      <c r="A371" s="19">
        <v>1370</v>
      </c>
      <c r="B371" s="18">
        <v>45927</v>
      </c>
      <c r="C371" s="19" t="s">
        <v>31</v>
      </c>
      <c r="D371" s="19" t="s">
        <v>26</v>
      </c>
      <c r="E371" s="19" t="s">
        <v>22</v>
      </c>
      <c r="F371" s="19" t="s">
        <v>23</v>
      </c>
      <c r="G371" s="19">
        <v>11</v>
      </c>
      <c r="H371" s="20">
        <v>8500</v>
      </c>
      <c r="I371" s="24">
        <v>0.05</v>
      </c>
      <c r="J371" s="28">
        <f>Table2[[#This Row],[Quantity]]*Table2[[#This Row],[Unit_Price]]</f>
        <v>93500</v>
      </c>
      <c r="K371" s="31">
        <f t="shared" si="5"/>
        <v>88825</v>
      </c>
      <c r="L371" s="31">
        <f>Table2[[#This Row],[gross sales]]-Table2[[#This Row],[net sale]]</f>
        <v>4675</v>
      </c>
      <c r="M371" s="37" t="str">
        <f>TEXT(B371,"mmm")</f>
        <v>Sep</v>
      </c>
    </row>
    <row r="372" spans="1:13">
      <c r="A372" s="16">
        <v>1371</v>
      </c>
      <c r="B372" s="15">
        <v>45937</v>
      </c>
      <c r="C372" s="16" t="s">
        <v>33</v>
      </c>
      <c r="D372" s="16" t="s">
        <v>10</v>
      </c>
      <c r="E372" s="16" t="s">
        <v>22</v>
      </c>
      <c r="F372" s="16" t="s">
        <v>12</v>
      </c>
      <c r="G372" s="16">
        <v>9</v>
      </c>
      <c r="H372" s="17">
        <v>2500</v>
      </c>
      <c r="I372" s="23">
        <v>0.12</v>
      </c>
      <c r="J372" s="28">
        <f>Table2[[#This Row],[Quantity]]*Table2[[#This Row],[Unit_Price]]</f>
        <v>22500</v>
      </c>
      <c r="K372" s="31">
        <f t="shared" si="5"/>
        <v>19800</v>
      </c>
      <c r="L372" s="31">
        <f>Table2[[#This Row],[gross sales]]-Table2[[#This Row],[net sale]]</f>
        <v>2700</v>
      </c>
      <c r="M372" s="36" t="str">
        <f>TEXT(B372,"mmm")</f>
        <v>Oct</v>
      </c>
    </row>
    <row r="373" spans="1:13">
      <c r="A373" s="19">
        <v>1372</v>
      </c>
      <c r="B373" s="18">
        <v>45784</v>
      </c>
      <c r="C373" s="19" t="s">
        <v>21</v>
      </c>
      <c r="D373" s="19" t="s">
        <v>10</v>
      </c>
      <c r="E373" s="19" t="s">
        <v>17</v>
      </c>
      <c r="F373" s="19" t="s">
        <v>27</v>
      </c>
      <c r="G373" s="19">
        <v>18</v>
      </c>
      <c r="H373" s="20">
        <v>14000</v>
      </c>
      <c r="I373" s="24">
        <v>0.08</v>
      </c>
      <c r="J373" s="28">
        <f>Table2[[#This Row],[Quantity]]*Table2[[#This Row],[Unit_Price]]</f>
        <v>252000</v>
      </c>
      <c r="K373" s="31">
        <f t="shared" si="5"/>
        <v>231840</v>
      </c>
      <c r="L373" s="31">
        <f>Table2[[#This Row],[gross sales]]-Table2[[#This Row],[net sale]]</f>
        <v>20160</v>
      </c>
      <c r="M373" s="37" t="str">
        <f>TEXT(B373,"mmm")</f>
        <v>May</v>
      </c>
    </row>
    <row r="374" spans="1:13">
      <c r="A374" s="16">
        <v>1373</v>
      </c>
      <c r="B374" s="15">
        <v>45805</v>
      </c>
      <c r="C374" s="16" t="s">
        <v>39</v>
      </c>
      <c r="D374" s="16" t="s">
        <v>30</v>
      </c>
      <c r="E374" s="16" t="s">
        <v>22</v>
      </c>
      <c r="F374" s="16" t="s">
        <v>23</v>
      </c>
      <c r="G374" s="16">
        <v>7</v>
      </c>
      <c r="H374" s="16">
        <v>180</v>
      </c>
      <c r="I374" s="23">
        <v>0.15</v>
      </c>
      <c r="J374" s="28">
        <f>Table2[[#This Row],[Quantity]]*Table2[[#This Row],[Unit_Price]]</f>
        <v>1260</v>
      </c>
      <c r="K374" s="31">
        <f t="shared" si="5"/>
        <v>1071</v>
      </c>
      <c r="L374" s="31">
        <f>Table2[[#This Row],[gross sales]]-Table2[[#This Row],[net sale]]</f>
        <v>189</v>
      </c>
      <c r="M374" s="36" t="str">
        <f>TEXT(B374,"mmm")</f>
        <v>May</v>
      </c>
    </row>
    <row r="375" spans="1:13">
      <c r="A375" s="19">
        <v>1374</v>
      </c>
      <c r="B375" s="18">
        <v>45903</v>
      </c>
      <c r="C375" s="19" t="s">
        <v>33</v>
      </c>
      <c r="D375" s="19" t="s">
        <v>10</v>
      </c>
      <c r="E375" s="19" t="s">
        <v>11</v>
      </c>
      <c r="F375" s="19" t="s">
        <v>27</v>
      </c>
      <c r="G375" s="19">
        <v>18</v>
      </c>
      <c r="H375" s="20">
        <v>2500</v>
      </c>
      <c r="I375" s="24">
        <v>0.15</v>
      </c>
      <c r="J375" s="28">
        <f>Table2[[#This Row],[Quantity]]*Table2[[#This Row],[Unit_Price]]</f>
        <v>45000</v>
      </c>
      <c r="K375" s="31">
        <f t="shared" si="5"/>
        <v>38250</v>
      </c>
      <c r="L375" s="31">
        <f>Table2[[#This Row],[gross sales]]-Table2[[#This Row],[net sale]]</f>
        <v>6750</v>
      </c>
      <c r="M375" s="37" t="str">
        <f>TEXT(B375,"mmm")</f>
        <v>Sep</v>
      </c>
    </row>
    <row r="376" spans="1:13">
      <c r="A376" s="16">
        <v>1375</v>
      </c>
      <c r="B376" s="15">
        <v>45720</v>
      </c>
      <c r="C376" s="16" t="s">
        <v>28</v>
      </c>
      <c r="D376" s="16" t="s">
        <v>26</v>
      </c>
      <c r="E376" s="16" t="s">
        <v>22</v>
      </c>
      <c r="F376" s="16" t="s">
        <v>23</v>
      </c>
      <c r="G376" s="22"/>
      <c r="H376" s="17">
        <v>9000</v>
      </c>
      <c r="I376" s="23">
        <v>0.1</v>
      </c>
      <c r="J376" s="28"/>
      <c r="K376" s="31"/>
      <c r="L376" s="31">
        <f>Table2[[#This Row],[gross sales]]-Table2[[#This Row],[net sale]]</f>
        <v>0</v>
      </c>
      <c r="M376" s="36" t="str">
        <f>TEXT(B376,"mmm")</f>
        <v>Mar</v>
      </c>
    </row>
    <row r="377" spans="1:13">
      <c r="A377" s="19">
        <v>1376</v>
      </c>
      <c r="B377" s="18">
        <v>45732</v>
      </c>
      <c r="C377" s="19" t="s">
        <v>21</v>
      </c>
      <c r="D377" s="19" t="s">
        <v>10</v>
      </c>
      <c r="E377" s="19" t="s">
        <v>14</v>
      </c>
      <c r="F377" s="19" t="s">
        <v>23</v>
      </c>
      <c r="G377" s="19">
        <v>2</v>
      </c>
      <c r="H377" s="20">
        <v>14000</v>
      </c>
      <c r="I377" s="24">
        <v>0.08</v>
      </c>
      <c r="J377" s="28">
        <f>Table2[[#This Row],[Quantity]]*Table2[[#This Row],[Unit_Price]]</f>
        <v>28000</v>
      </c>
      <c r="K377" s="31">
        <f t="shared" si="5"/>
        <v>25760</v>
      </c>
      <c r="L377" s="31">
        <f>Table2[[#This Row],[gross sales]]-Table2[[#This Row],[net sale]]</f>
        <v>2240</v>
      </c>
      <c r="M377" s="37" t="str">
        <f>TEXT(B377,"mmm")</f>
        <v>Mar</v>
      </c>
    </row>
    <row r="378" spans="1:13">
      <c r="A378" s="16">
        <v>1377</v>
      </c>
      <c r="B378" s="15">
        <v>45884</v>
      </c>
      <c r="C378" s="16" t="s">
        <v>29</v>
      </c>
      <c r="D378" s="16" t="s">
        <v>30</v>
      </c>
      <c r="E378" s="16" t="s">
        <v>22</v>
      </c>
      <c r="F378" s="16" t="s">
        <v>12</v>
      </c>
      <c r="G378" s="16">
        <v>9</v>
      </c>
      <c r="H378" s="16">
        <v>250</v>
      </c>
      <c r="I378" s="23">
        <v>0.15</v>
      </c>
      <c r="J378" s="28">
        <f>Table2[[#This Row],[Quantity]]*Table2[[#This Row],[Unit_Price]]</f>
        <v>2250</v>
      </c>
      <c r="K378" s="31">
        <f t="shared" si="5"/>
        <v>1912.5</v>
      </c>
      <c r="L378" s="31">
        <f>Table2[[#This Row],[gross sales]]-Table2[[#This Row],[net sale]]</f>
        <v>337.5</v>
      </c>
      <c r="M378" s="36" t="str">
        <f>TEXT(B378,"mmm")</f>
        <v>Aug</v>
      </c>
    </row>
    <row r="379" spans="1:13">
      <c r="A379" s="19">
        <v>1378</v>
      </c>
      <c r="B379" s="18">
        <v>45761</v>
      </c>
      <c r="C379" s="19" t="s">
        <v>38</v>
      </c>
      <c r="D379" s="19" t="s">
        <v>10</v>
      </c>
      <c r="E379" s="19" t="s">
        <v>11</v>
      </c>
      <c r="F379" s="19" t="s">
        <v>32</v>
      </c>
      <c r="G379" s="19">
        <v>18</v>
      </c>
      <c r="H379" s="20">
        <v>42000</v>
      </c>
      <c r="I379" s="24">
        <v>0.08</v>
      </c>
      <c r="J379" s="28">
        <f>Table2[[#This Row],[Quantity]]*Table2[[#This Row],[Unit_Price]]</f>
        <v>756000</v>
      </c>
      <c r="K379" s="31">
        <f t="shared" si="5"/>
        <v>695520</v>
      </c>
      <c r="L379" s="31">
        <f>Table2[[#This Row],[gross sales]]-Table2[[#This Row],[net sale]]</f>
        <v>60480</v>
      </c>
      <c r="M379" s="37" t="str">
        <f>TEXT(B379,"mmm")</f>
        <v>Apr</v>
      </c>
    </row>
    <row r="380" spans="1:13">
      <c r="A380" s="16">
        <v>1379</v>
      </c>
      <c r="B380" s="15">
        <v>45713</v>
      </c>
      <c r="C380" s="16" t="s">
        <v>28</v>
      </c>
      <c r="D380" s="16" t="s">
        <v>26</v>
      </c>
      <c r="E380" s="16" t="s">
        <v>17</v>
      </c>
      <c r="F380" s="16" t="s">
        <v>18</v>
      </c>
      <c r="G380" s="16">
        <v>19</v>
      </c>
      <c r="H380" s="17">
        <v>9000</v>
      </c>
      <c r="I380" s="23">
        <v>0.05</v>
      </c>
      <c r="J380" s="28">
        <f>Table2[[#This Row],[Quantity]]*Table2[[#This Row],[Unit_Price]]</f>
        <v>171000</v>
      </c>
      <c r="K380" s="31">
        <f t="shared" si="5"/>
        <v>162450</v>
      </c>
      <c r="L380" s="31">
        <f>Table2[[#This Row],[gross sales]]-Table2[[#This Row],[net sale]]</f>
        <v>8550</v>
      </c>
      <c r="M380" s="36" t="str">
        <f>TEXT(B380,"mmm")</f>
        <v>Feb</v>
      </c>
    </row>
    <row r="381" spans="1:13">
      <c r="A381" s="19">
        <v>1380</v>
      </c>
      <c r="B381" s="18">
        <v>46000</v>
      </c>
      <c r="C381" s="19" t="s">
        <v>37</v>
      </c>
      <c r="D381" s="19" t="s">
        <v>36</v>
      </c>
      <c r="E381" s="19" t="s">
        <v>17</v>
      </c>
      <c r="F381" s="19" t="s">
        <v>18</v>
      </c>
      <c r="G381" s="19">
        <v>17</v>
      </c>
      <c r="H381" s="20">
        <v>1800</v>
      </c>
      <c r="I381" s="24">
        <v>0.05</v>
      </c>
      <c r="J381" s="28">
        <f>Table2[[#This Row],[Quantity]]*Table2[[#This Row],[Unit_Price]]</f>
        <v>30600</v>
      </c>
      <c r="K381" s="31">
        <f t="shared" si="5"/>
        <v>29070</v>
      </c>
      <c r="L381" s="31">
        <f>Table2[[#This Row],[gross sales]]-Table2[[#This Row],[net sale]]</f>
        <v>1530</v>
      </c>
      <c r="M381" s="37" t="str">
        <f>TEXT(B381,"mmm")</f>
        <v>Dec</v>
      </c>
    </row>
    <row r="382" spans="1:13">
      <c r="A382" s="16">
        <v>1381</v>
      </c>
      <c r="B382" s="15">
        <v>45709</v>
      </c>
      <c r="C382" s="16" t="s">
        <v>31</v>
      </c>
      <c r="D382" s="16" t="s">
        <v>26</v>
      </c>
      <c r="E382" s="16" t="s">
        <v>22</v>
      </c>
      <c r="F382" s="16" t="s">
        <v>24</v>
      </c>
      <c r="G382" s="16">
        <v>11</v>
      </c>
      <c r="H382" s="17">
        <v>8500</v>
      </c>
      <c r="I382" s="23">
        <v>0.15</v>
      </c>
      <c r="J382" s="28">
        <f>Table2[[#This Row],[Quantity]]*Table2[[#This Row],[Unit_Price]]</f>
        <v>93500</v>
      </c>
      <c r="K382" s="31">
        <f t="shared" si="5"/>
        <v>79475</v>
      </c>
      <c r="L382" s="31">
        <f>Table2[[#This Row],[gross sales]]-Table2[[#This Row],[net sale]]</f>
        <v>14025</v>
      </c>
      <c r="M382" s="36" t="str">
        <f>TEXT(B382,"mmm")</f>
        <v>Feb</v>
      </c>
    </row>
    <row r="383" spans="1:13">
      <c r="A383" s="19">
        <v>1382</v>
      </c>
      <c r="B383" s="18">
        <v>46006</v>
      </c>
      <c r="C383" s="19" t="s">
        <v>35</v>
      </c>
      <c r="D383" s="19" t="s">
        <v>36</v>
      </c>
      <c r="E383" s="19" t="s">
        <v>17</v>
      </c>
      <c r="F383" s="19" t="s">
        <v>15</v>
      </c>
      <c r="G383" s="19">
        <v>5</v>
      </c>
      <c r="H383" s="20">
        <v>3500</v>
      </c>
      <c r="I383" s="24">
        <v>0</v>
      </c>
      <c r="J383" s="28">
        <f>Table2[[#This Row],[Quantity]]*Table2[[#This Row],[Unit_Price]]</f>
        <v>17500</v>
      </c>
      <c r="K383" s="31">
        <f t="shared" si="5"/>
        <v>17500</v>
      </c>
      <c r="L383" s="31">
        <f>Table2[[#This Row],[gross sales]]-Table2[[#This Row],[net sale]]</f>
        <v>0</v>
      </c>
      <c r="M383" s="37" t="str">
        <f>TEXT(B383,"mmm")</f>
        <v>Dec</v>
      </c>
    </row>
    <row r="384" spans="1:13">
      <c r="A384" s="16">
        <v>1383</v>
      </c>
      <c r="B384" s="15">
        <v>45992</v>
      </c>
      <c r="C384" s="16" t="s">
        <v>37</v>
      </c>
      <c r="D384" s="16" t="s">
        <v>36</v>
      </c>
      <c r="E384" s="16" t="s">
        <v>17</v>
      </c>
      <c r="F384" s="16" t="s">
        <v>27</v>
      </c>
      <c r="G384" s="16">
        <v>16</v>
      </c>
      <c r="H384" s="17">
        <v>1800</v>
      </c>
      <c r="I384" s="23">
        <v>0.1</v>
      </c>
      <c r="J384" s="28">
        <f>Table2[[#This Row],[Quantity]]*Table2[[#This Row],[Unit_Price]]</f>
        <v>28800</v>
      </c>
      <c r="K384" s="31">
        <f t="shared" si="5"/>
        <v>25920</v>
      </c>
      <c r="L384" s="31">
        <f>Table2[[#This Row],[gross sales]]-Table2[[#This Row],[net sale]]</f>
        <v>2880</v>
      </c>
      <c r="M384" s="36" t="str">
        <f>TEXT(B384,"mmm")</f>
        <v>Dec</v>
      </c>
    </row>
    <row r="385" spans="1:13">
      <c r="A385" s="19">
        <v>1384</v>
      </c>
      <c r="B385" s="18">
        <v>45822</v>
      </c>
      <c r="C385" s="19" t="s">
        <v>21</v>
      </c>
      <c r="D385" s="19" t="s">
        <v>10</v>
      </c>
      <c r="E385" s="19" t="s">
        <v>17</v>
      </c>
      <c r="F385" s="19" t="s">
        <v>18</v>
      </c>
      <c r="G385" s="19">
        <v>2</v>
      </c>
      <c r="H385" s="20">
        <v>14000</v>
      </c>
      <c r="I385" s="24">
        <v>0</v>
      </c>
      <c r="J385" s="28">
        <f>Table2[[#This Row],[Quantity]]*Table2[[#This Row],[Unit_Price]]</f>
        <v>28000</v>
      </c>
      <c r="K385" s="31">
        <f t="shared" si="5"/>
        <v>28000</v>
      </c>
      <c r="L385" s="31">
        <f>Table2[[#This Row],[gross sales]]-Table2[[#This Row],[net sale]]</f>
        <v>0</v>
      </c>
      <c r="M385" s="37" t="str">
        <f>TEXT(B385,"mmm")</f>
        <v>Jun</v>
      </c>
    </row>
    <row r="386" spans="1:13">
      <c r="A386" s="16">
        <v>1385</v>
      </c>
      <c r="B386" s="15">
        <v>45747</v>
      </c>
      <c r="C386" s="16" t="s">
        <v>31</v>
      </c>
      <c r="D386" s="16" t="s">
        <v>26</v>
      </c>
      <c r="E386" s="16" t="s">
        <v>22</v>
      </c>
      <c r="F386" s="16" t="s">
        <v>20</v>
      </c>
      <c r="G386" s="16">
        <v>6</v>
      </c>
      <c r="H386" s="17">
        <v>8500</v>
      </c>
      <c r="I386" s="23">
        <v>0</v>
      </c>
      <c r="J386" s="28">
        <f>Table2[[#This Row],[Quantity]]*Table2[[#This Row],[Unit_Price]]</f>
        <v>51000</v>
      </c>
      <c r="K386" s="31">
        <f t="shared" ref="K386:K449" si="6">J386*(1-I386)</f>
        <v>51000</v>
      </c>
      <c r="L386" s="31">
        <f>Table2[[#This Row],[gross sales]]-Table2[[#This Row],[net sale]]</f>
        <v>0</v>
      </c>
      <c r="M386" s="36" t="str">
        <f>TEXT(B386,"mmm")</f>
        <v>Mar</v>
      </c>
    </row>
    <row r="387" spans="1:13">
      <c r="A387" s="19">
        <v>1386</v>
      </c>
      <c r="B387" s="18">
        <v>45753</v>
      </c>
      <c r="C387" s="19" t="s">
        <v>37</v>
      </c>
      <c r="D387" s="19" t="s">
        <v>36</v>
      </c>
      <c r="E387" s="19" t="s">
        <v>14</v>
      </c>
      <c r="F387" s="19" t="s">
        <v>27</v>
      </c>
      <c r="G387" s="19">
        <v>10</v>
      </c>
      <c r="H387" s="20">
        <v>1800</v>
      </c>
      <c r="I387" s="24">
        <v>0</v>
      </c>
      <c r="J387" s="28">
        <f>Table2[[#This Row],[Quantity]]*Table2[[#This Row],[Unit_Price]]</f>
        <v>18000</v>
      </c>
      <c r="K387" s="31">
        <f t="shared" si="6"/>
        <v>18000</v>
      </c>
      <c r="L387" s="31">
        <f>Table2[[#This Row],[gross sales]]-Table2[[#This Row],[net sale]]</f>
        <v>0</v>
      </c>
      <c r="M387" s="37" t="str">
        <f>TEXT(B387,"mmm")</f>
        <v>Apr</v>
      </c>
    </row>
    <row r="388" spans="1:13">
      <c r="A388" s="16">
        <v>1387</v>
      </c>
      <c r="B388" s="15">
        <v>45948</v>
      </c>
      <c r="C388" s="16" t="s">
        <v>28</v>
      </c>
      <c r="D388" s="16" t="s">
        <v>26</v>
      </c>
      <c r="E388" s="16" t="s">
        <v>11</v>
      </c>
      <c r="F388" s="16" t="s">
        <v>20</v>
      </c>
      <c r="G388" s="16">
        <v>4</v>
      </c>
      <c r="H388" s="17">
        <v>9000</v>
      </c>
      <c r="I388" s="23">
        <v>0.08</v>
      </c>
      <c r="J388" s="28">
        <f>Table2[[#This Row],[Quantity]]*Table2[[#This Row],[Unit_Price]]</f>
        <v>36000</v>
      </c>
      <c r="K388" s="31">
        <f t="shared" si="6"/>
        <v>33120</v>
      </c>
      <c r="L388" s="31">
        <f>Table2[[#This Row],[gross sales]]-Table2[[#This Row],[net sale]]</f>
        <v>2880</v>
      </c>
      <c r="M388" s="36" t="str">
        <f>TEXT(B388,"mmm")</f>
        <v>Oct</v>
      </c>
    </row>
    <row r="389" spans="1:13">
      <c r="A389" s="19">
        <v>1388</v>
      </c>
      <c r="B389" s="18">
        <v>45986</v>
      </c>
      <c r="C389" s="19" t="s">
        <v>25</v>
      </c>
      <c r="D389" s="19" t="s">
        <v>26</v>
      </c>
      <c r="E389" s="19" t="s">
        <v>17</v>
      </c>
      <c r="F389" s="19" t="s">
        <v>20</v>
      </c>
      <c r="G389" s="19">
        <v>17</v>
      </c>
      <c r="H389" s="20">
        <v>11000</v>
      </c>
      <c r="I389" s="24">
        <v>0.1</v>
      </c>
      <c r="J389" s="28">
        <f>Table2[[#This Row],[Quantity]]*Table2[[#This Row],[Unit_Price]]</f>
        <v>187000</v>
      </c>
      <c r="K389" s="31">
        <f t="shared" si="6"/>
        <v>168300</v>
      </c>
      <c r="L389" s="31">
        <f>Table2[[#This Row],[gross sales]]-Table2[[#This Row],[net sale]]</f>
        <v>18700</v>
      </c>
      <c r="M389" s="37" t="str">
        <f>TEXT(B389,"mmm")</f>
        <v>Nov</v>
      </c>
    </row>
    <row r="390" spans="1:13">
      <c r="A390" s="16">
        <v>1389</v>
      </c>
      <c r="B390" s="15">
        <v>45797</v>
      </c>
      <c r="C390" s="16" t="s">
        <v>19</v>
      </c>
      <c r="D390" s="16" t="s">
        <v>10</v>
      </c>
      <c r="E390" s="16" t="s">
        <v>17</v>
      </c>
      <c r="F390" s="16" t="s">
        <v>20</v>
      </c>
      <c r="G390" s="16">
        <v>4</v>
      </c>
      <c r="H390" s="16">
        <v>800</v>
      </c>
      <c r="I390" s="23">
        <v>0.08</v>
      </c>
      <c r="J390" s="28">
        <f>Table2[[#This Row],[Quantity]]*Table2[[#This Row],[Unit_Price]]</f>
        <v>3200</v>
      </c>
      <c r="K390" s="31">
        <f t="shared" si="6"/>
        <v>2944</v>
      </c>
      <c r="L390" s="31">
        <f>Table2[[#This Row],[gross sales]]-Table2[[#This Row],[net sale]]</f>
        <v>256</v>
      </c>
      <c r="M390" s="36" t="str">
        <f>TEXT(B390,"mmm")</f>
        <v>May</v>
      </c>
    </row>
    <row r="391" spans="1:13">
      <c r="A391" s="19">
        <v>1390</v>
      </c>
      <c r="B391" s="18">
        <v>45989</v>
      </c>
      <c r="C391" s="19" t="s">
        <v>21</v>
      </c>
      <c r="D391" s="19" t="s">
        <v>10</v>
      </c>
      <c r="E391" s="19" t="s">
        <v>11</v>
      </c>
      <c r="F391" s="19" t="s">
        <v>27</v>
      </c>
      <c r="G391" s="19">
        <v>6</v>
      </c>
      <c r="H391" s="20">
        <v>14000</v>
      </c>
      <c r="I391" s="24">
        <v>0</v>
      </c>
      <c r="J391" s="28">
        <f>Table2[[#This Row],[Quantity]]*Table2[[#This Row],[Unit_Price]]</f>
        <v>84000</v>
      </c>
      <c r="K391" s="31">
        <f t="shared" si="6"/>
        <v>84000</v>
      </c>
      <c r="L391" s="31">
        <f>Table2[[#This Row],[gross sales]]-Table2[[#This Row],[net sale]]</f>
        <v>0</v>
      </c>
      <c r="M391" s="37" t="str">
        <f>TEXT(B391,"mmm")</f>
        <v>Nov</v>
      </c>
    </row>
    <row r="392" spans="1:13">
      <c r="A392" s="16">
        <v>1391</v>
      </c>
      <c r="B392" s="15">
        <v>45948</v>
      </c>
      <c r="C392" s="16" t="s">
        <v>29</v>
      </c>
      <c r="D392" s="16" t="s">
        <v>30</v>
      </c>
      <c r="E392" s="16" t="s">
        <v>22</v>
      </c>
      <c r="F392" s="16" t="s">
        <v>15</v>
      </c>
      <c r="G392" s="16">
        <v>7</v>
      </c>
      <c r="H392" s="16">
        <v>250</v>
      </c>
      <c r="I392" s="23">
        <v>0.05</v>
      </c>
      <c r="J392" s="28">
        <f>Table2[[#This Row],[Quantity]]*Table2[[#This Row],[Unit_Price]]</f>
        <v>1750</v>
      </c>
      <c r="K392" s="31">
        <f t="shared" si="6"/>
        <v>1662.5</v>
      </c>
      <c r="L392" s="31">
        <f>Table2[[#This Row],[gross sales]]-Table2[[#This Row],[net sale]]</f>
        <v>87.5</v>
      </c>
      <c r="M392" s="36" t="str">
        <f>TEXT(B392,"mmm")</f>
        <v>Oct</v>
      </c>
    </row>
    <row r="393" spans="1:13">
      <c r="A393" s="19">
        <v>1392</v>
      </c>
      <c r="B393" s="18">
        <v>45921</v>
      </c>
      <c r="C393" s="19" t="s">
        <v>33</v>
      </c>
      <c r="D393" s="19" t="s">
        <v>10</v>
      </c>
      <c r="E393" s="19" t="s">
        <v>14</v>
      </c>
      <c r="F393" s="19" t="s">
        <v>32</v>
      </c>
      <c r="G393" s="19">
        <v>3</v>
      </c>
      <c r="H393" s="20">
        <v>2500</v>
      </c>
      <c r="I393" s="24">
        <v>0.1</v>
      </c>
      <c r="J393" s="28">
        <f>Table2[[#This Row],[Quantity]]*Table2[[#This Row],[Unit_Price]]</f>
        <v>7500</v>
      </c>
      <c r="K393" s="31">
        <f t="shared" si="6"/>
        <v>6750</v>
      </c>
      <c r="L393" s="31">
        <f>Table2[[#This Row],[gross sales]]-Table2[[#This Row],[net sale]]</f>
        <v>750</v>
      </c>
      <c r="M393" s="37" t="str">
        <f>TEXT(B393,"mmm")</f>
        <v>Sep</v>
      </c>
    </row>
    <row r="394" spans="1:13">
      <c r="A394" s="16">
        <v>1393</v>
      </c>
      <c r="B394" s="15">
        <v>45729</v>
      </c>
      <c r="C394" s="16" t="s">
        <v>34</v>
      </c>
      <c r="D394" s="16" t="s">
        <v>26</v>
      </c>
      <c r="E394" s="16" t="s">
        <v>14</v>
      </c>
      <c r="F394" s="16" t="s">
        <v>27</v>
      </c>
      <c r="G394" s="16">
        <v>11</v>
      </c>
      <c r="H394" s="17">
        <v>15000</v>
      </c>
      <c r="I394" s="23">
        <v>0.05</v>
      </c>
      <c r="J394" s="28">
        <f>Table2[[#This Row],[Quantity]]*Table2[[#This Row],[Unit_Price]]</f>
        <v>165000</v>
      </c>
      <c r="K394" s="31">
        <f t="shared" si="6"/>
        <v>156750</v>
      </c>
      <c r="L394" s="31">
        <f>Table2[[#This Row],[gross sales]]-Table2[[#This Row],[net sale]]</f>
        <v>8250</v>
      </c>
      <c r="M394" s="36" t="str">
        <f>TEXT(B394,"mmm")</f>
        <v>Mar</v>
      </c>
    </row>
    <row r="395" spans="1:13">
      <c r="A395" s="19">
        <v>1394</v>
      </c>
      <c r="B395" s="18">
        <v>45854</v>
      </c>
      <c r="C395" s="19" t="s">
        <v>19</v>
      </c>
      <c r="D395" s="19" t="s">
        <v>10</v>
      </c>
      <c r="E395" s="19" t="s">
        <v>11</v>
      </c>
      <c r="F395" s="19" t="s">
        <v>27</v>
      </c>
      <c r="G395" s="19">
        <v>15</v>
      </c>
      <c r="H395" s="19">
        <v>800</v>
      </c>
      <c r="I395" s="24">
        <v>0.08</v>
      </c>
      <c r="J395" s="28">
        <f>Table2[[#This Row],[Quantity]]*Table2[[#This Row],[Unit_Price]]</f>
        <v>12000</v>
      </c>
      <c r="K395" s="31">
        <f t="shared" si="6"/>
        <v>11040</v>
      </c>
      <c r="L395" s="31">
        <f>Table2[[#This Row],[gross sales]]-Table2[[#This Row],[net sale]]</f>
        <v>960</v>
      </c>
      <c r="M395" s="37" t="str">
        <f>TEXT(B395,"mmm")</f>
        <v>Jul</v>
      </c>
    </row>
    <row r="396" spans="1:13">
      <c r="A396" s="16">
        <v>1395</v>
      </c>
      <c r="B396" s="15">
        <v>45956</v>
      </c>
      <c r="C396" s="16" t="s">
        <v>39</v>
      </c>
      <c r="D396" s="16" t="s">
        <v>30</v>
      </c>
      <c r="E396" s="16" t="s">
        <v>11</v>
      </c>
      <c r="F396" s="16" t="s">
        <v>23</v>
      </c>
      <c r="G396" s="16">
        <v>19</v>
      </c>
      <c r="H396" s="16">
        <v>180</v>
      </c>
      <c r="I396" s="23">
        <v>0</v>
      </c>
      <c r="J396" s="28">
        <f>Table2[[#This Row],[Quantity]]*Table2[[#This Row],[Unit_Price]]</f>
        <v>3420</v>
      </c>
      <c r="K396" s="31">
        <f t="shared" si="6"/>
        <v>3420</v>
      </c>
      <c r="L396" s="31">
        <f>Table2[[#This Row],[gross sales]]-Table2[[#This Row],[net sale]]</f>
        <v>0</v>
      </c>
      <c r="M396" s="36" t="str">
        <f>TEXT(B396,"mmm")</f>
        <v>Oct</v>
      </c>
    </row>
    <row r="397" spans="1:13">
      <c r="A397" s="19">
        <v>1396</v>
      </c>
      <c r="B397" s="18">
        <v>46012</v>
      </c>
      <c r="C397" s="19" t="s">
        <v>19</v>
      </c>
      <c r="D397" s="19" t="s">
        <v>10</v>
      </c>
      <c r="E397" s="19" t="s">
        <v>14</v>
      </c>
      <c r="F397" s="19" t="s">
        <v>20</v>
      </c>
      <c r="G397" s="19">
        <v>2</v>
      </c>
      <c r="H397" s="19">
        <v>800</v>
      </c>
      <c r="I397" s="24">
        <v>0.15</v>
      </c>
      <c r="J397" s="28">
        <f>Table2[[#This Row],[Quantity]]*Table2[[#This Row],[Unit_Price]]</f>
        <v>1600</v>
      </c>
      <c r="K397" s="31">
        <f t="shared" si="6"/>
        <v>1360</v>
      </c>
      <c r="L397" s="31">
        <f>Table2[[#This Row],[gross sales]]-Table2[[#This Row],[net sale]]</f>
        <v>240</v>
      </c>
      <c r="M397" s="37" t="str">
        <f>TEXT(B397,"mmm")</f>
        <v>Dec</v>
      </c>
    </row>
    <row r="398" spans="1:13">
      <c r="A398" s="16">
        <v>1397</v>
      </c>
      <c r="B398" s="15">
        <v>45815</v>
      </c>
      <c r="C398" s="16" t="s">
        <v>13</v>
      </c>
      <c r="D398" s="16" t="s">
        <v>10</v>
      </c>
      <c r="E398" s="16" t="s">
        <v>11</v>
      </c>
      <c r="F398" s="16" t="s">
        <v>24</v>
      </c>
      <c r="G398" s="16">
        <v>13</v>
      </c>
      <c r="H398" s="17">
        <v>1200</v>
      </c>
      <c r="I398" s="23">
        <v>0.15</v>
      </c>
      <c r="J398" s="28">
        <f>Table2[[#This Row],[Quantity]]*Table2[[#This Row],[Unit_Price]]</f>
        <v>15600</v>
      </c>
      <c r="K398" s="31">
        <f t="shared" si="6"/>
        <v>13260</v>
      </c>
      <c r="L398" s="31">
        <f>Table2[[#This Row],[gross sales]]-Table2[[#This Row],[net sale]]</f>
        <v>2340</v>
      </c>
      <c r="M398" s="36" t="str">
        <f>TEXT(B398,"mmm")</f>
        <v>Jun</v>
      </c>
    </row>
    <row r="399" spans="1:13">
      <c r="A399" s="19">
        <v>1398</v>
      </c>
      <c r="B399" s="18">
        <v>45985</v>
      </c>
      <c r="C399" s="19" t="s">
        <v>37</v>
      </c>
      <c r="D399" s="19" t="s">
        <v>36</v>
      </c>
      <c r="E399" s="19" t="s">
        <v>17</v>
      </c>
      <c r="F399" s="19" t="s">
        <v>12</v>
      </c>
      <c r="G399" s="19">
        <v>10</v>
      </c>
      <c r="H399" s="20">
        <v>1800</v>
      </c>
      <c r="I399" s="24">
        <v>0.08</v>
      </c>
      <c r="J399" s="28">
        <f>Table2[[#This Row],[Quantity]]*Table2[[#This Row],[Unit_Price]]</f>
        <v>18000</v>
      </c>
      <c r="K399" s="31">
        <f t="shared" si="6"/>
        <v>16560</v>
      </c>
      <c r="L399" s="31">
        <f>Table2[[#This Row],[gross sales]]-Table2[[#This Row],[net sale]]</f>
        <v>1440</v>
      </c>
      <c r="M399" s="37" t="str">
        <f>TEXT(B399,"mmm")</f>
        <v>Nov</v>
      </c>
    </row>
    <row r="400" spans="1:13">
      <c r="A400" s="16">
        <v>1399</v>
      </c>
      <c r="B400" s="15">
        <v>45726</v>
      </c>
      <c r="C400" s="16" t="s">
        <v>34</v>
      </c>
      <c r="D400" s="16" t="s">
        <v>26</v>
      </c>
      <c r="E400" s="16" t="s">
        <v>11</v>
      </c>
      <c r="F400" s="16" t="s">
        <v>15</v>
      </c>
      <c r="G400" s="16">
        <v>5</v>
      </c>
      <c r="H400" s="17">
        <v>15000</v>
      </c>
      <c r="I400" s="23">
        <v>0.1</v>
      </c>
      <c r="J400" s="28">
        <f>Table2[[#This Row],[Quantity]]*Table2[[#This Row],[Unit_Price]]</f>
        <v>75000</v>
      </c>
      <c r="K400" s="31">
        <f t="shared" si="6"/>
        <v>67500</v>
      </c>
      <c r="L400" s="31">
        <f>Table2[[#This Row],[gross sales]]-Table2[[#This Row],[net sale]]</f>
        <v>7500</v>
      </c>
      <c r="M400" s="36" t="str">
        <f>TEXT(B400,"mmm")</f>
        <v>Mar</v>
      </c>
    </row>
    <row r="401" spans="1:13">
      <c r="A401" s="19">
        <v>1400</v>
      </c>
      <c r="B401" s="18">
        <v>46017</v>
      </c>
      <c r="C401" s="19" t="s">
        <v>25</v>
      </c>
      <c r="D401" s="19" t="s">
        <v>26</v>
      </c>
      <c r="E401" s="19" t="s">
        <v>17</v>
      </c>
      <c r="F401" s="19" t="s">
        <v>12</v>
      </c>
      <c r="G401" s="19">
        <v>16</v>
      </c>
      <c r="H401" s="20">
        <v>11000</v>
      </c>
      <c r="I401" s="24">
        <v>0.12</v>
      </c>
      <c r="J401" s="28">
        <f>Table2[[#This Row],[Quantity]]*Table2[[#This Row],[Unit_Price]]</f>
        <v>176000</v>
      </c>
      <c r="K401" s="31">
        <f t="shared" si="6"/>
        <v>154880</v>
      </c>
      <c r="L401" s="31">
        <f>Table2[[#This Row],[gross sales]]-Table2[[#This Row],[net sale]]</f>
        <v>21120</v>
      </c>
      <c r="M401" s="37" t="str">
        <f>TEXT(B401,"mmm")</f>
        <v>Dec</v>
      </c>
    </row>
    <row r="402" spans="1:13">
      <c r="A402" s="16">
        <v>1401</v>
      </c>
      <c r="B402" s="15">
        <v>46006</v>
      </c>
      <c r="C402" s="16" t="s">
        <v>35</v>
      </c>
      <c r="D402" s="16" t="s">
        <v>36</v>
      </c>
      <c r="E402" s="16" t="s">
        <v>22</v>
      </c>
      <c r="F402" s="16" t="s">
        <v>23</v>
      </c>
      <c r="G402" s="16">
        <v>20</v>
      </c>
      <c r="H402" s="17">
        <v>3500</v>
      </c>
      <c r="I402" s="23">
        <v>0</v>
      </c>
      <c r="J402" s="28">
        <f>Table2[[#This Row],[Quantity]]*Table2[[#This Row],[Unit_Price]]</f>
        <v>70000</v>
      </c>
      <c r="K402" s="31">
        <f t="shared" si="6"/>
        <v>70000</v>
      </c>
      <c r="L402" s="31">
        <f>Table2[[#This Row],[gross sales]]-Table2[[#This Row],[net sale]]</f>
        <v>0</v>
      </c>
      <c r="M402" s="36" t="str">
        <f>TEXT(B402,"mmm")</f>
        <v>Dec</v>
      </c>
    </row>
    <row r="403" spans="1:13">
      <c r="A403" s="19">
        <v>1402</v>
      </c>
      <c r="B403" s="18">
        <v>45697</v>
      </c>
      <c r="C403" s="19" t="s">
        <v>37</v>
      </c>
      <c r="D403" s="19" t="s">
        <v>36</v>
      </c>
      <c r="E403" s="19" t="s">
        <v>14</v>
      </c>
      <c r="F403" s="19" t="s">
        <v>12</v>
      </c>
      <c r="G403" s="19">
        <v>19</v>
      </c>
      <c r="H403" s="20">
        <v>1800</v>
      </c>
      <c r="I403" s="24">
        <v>0</v>
      </c>
      <c r="J403" s="28">
        <f>Table2[[#This Row],[Quantity]]*Table2[[#This Row],[Unit_Price]]</f>
        <v>34200</v>
      </c>
      <c r="K403" s="31">
        <f t="shared" si="6"/>
        <v>34200</v>
      </c>
      <c r="L403" s="31">
        <f>Table2[[#This Row],[gross sales]]-Table2[[#This Row],[net sale]]</f>
        <v>0</v>
      </c>
      <c r="M403" s="37" t="str">
        <f>TEXT(B403,"mmm")</f>
        <v>Feb</v>
      </c>
    </row>
    <row r="404" spans="1:13">
      <c r="A404" s="16">
        <v>1403</v>
      </c>
      <c r="B404" s="15">
        <v>45951</v>
      </c>
      <c r="C404" s="16" t="s">
        <v>25</v>
      </c>
      <c r="D404" s="16" t="s">
        <v>26</v>
      </c>
      <c r="E404" s="16" t="s">
        <v>11</v>
      </c>
      <c r="F404" s="16" t="s">
        <v>20</v>
      </c>
      <c r="G404" s="16">
        <v>5</v>
      </c>
      <c r="H404" s="17">
        <v>11000</v>
      </c>
      <c r="I404" s="23">
        <v>0.05</v>
      </c>
      <c r="J404" s="28">
        <f>Table2[[#This Row],[Quantity]]*Table2[[#This Row],[Unit_Price]]</f>
        <v>55000</v>
      </c>
      <c r="K404" s="31">
        <f t="shared" si="6"/>
        <v>52250</v>
      </c>
      <c r="L404" s="31">
        <f>Table2[[#This Row],[gross sales]]-Table2[[#This Row],[net sale]]</f>
        <v>2750</v>
      </c>
      <c r="M404" s="36" t="str">
        <f>TEXT(B404,"mmm")</f>
        <v>Oct</v>
      </c>
    </row>
    <row r="405" spans="1:13">
      <c r="A405" s="19">
        <v>1404</v>
      </c>
      <c r="B405" s="18">
        <v>45717</v>
      </c>
      <c r="C405" s="19" t="s">
        <v>29</v>
      </c>
      <c r="D405" s="19" t="s">
        <v>30</v>
      </c>
      <c r="E405" s="19" t="s">
        <v>22</v>
      </c>
      <c r="F405" s="19" t="s">
        <v>24</v>
      </c>
      <c r="G405" s="19">
        <v>7</v>
      </c>
      <c r="H405" s="19">
        <v>250</v>
      </c>
      <c r="I405" s="24">
        <v>0.15</v>
      </c>
      <c r="J405" s="28">
        <f>Table2[[#This Row],[Quantity]]*Table2[[#This Row],[Unit_Price]]</f>
        <v>1750</v>
      </c>
      <c r="K405" s="31">
        <f t="shared" si="6"/>
        <v>1487.5</v>
      </c>
      <c r="L405" s="31">
        <f>Table2[[#This Row],[gross sales]]-Table2[[#This Row],[net sale]]</f>
        <v>262.5</v>
      </c>
      <c r="M405" s="37" t="str">
        <f>TEXT(B405,"mmm")</f>
        <v>Mar</v>
      </c>
    </row>
    <row r="406" spans="1:13">
      <c r="A406" s="16">
        <v>1405</v>
      </c>
      <c r="B406" s="15">
        <v>45919</v>
      </c>
      <c r="C406" s="16" t="s">
        <v>34</v>
      </c>
      <c r="D406" s="16" t="s">
        <v>26</v>
      </c>
      <c r="E406" s="16" t="s">
        <v>17</v>
      </c>
      <c r="F406" s="16" t="s">
        <v>15</v>
      </c>
      <c r="G406" s="16">
        <v>2</v>
      </c>
      <c r="H406" s="17">
        <v>15000</v>
      </c>
      <c r="I406" s="23">
        <v>0.1</v>
      </c>
      <c r="J406" s="28">
        <f>Table2[[#This Row],[Quantity]]*Table2[[#This Row],[Unit_Price]]</f>
        <v>30000</v>
      </c>
      <c r="K406" s="31">
        <f t="shared" si="6"/>
        <v>27000</v>
      </c>
      <c r="L406" s="31">
        <f>Table2[[#This Row],[gross sales]]-Table2[[#This Row],[net sale]]</f>
        <v>3000</v>
      </c>
      <c r="M406" s="36" t="str">
        <f>TEXT(B406,"mmm")</f>
        <v>Sep</v>
      </c>
    </row>
    <row r="407" spans="1:13">
      <c r="A407" s="19">
        <v>1406</v>
      </c>
      <c r="B407" s="18">
        <v>45891</v>
      </c>
      <c r="C407" s="19" t="s">
        <v>28</v>
      </c>
      <c r="D407" s="19" t="s">
        <v>26</v>
      </c>
      <c r="E407" s="19" t="s">
        <v>22</v>
      </c>
      <c r="F407" s="19" t="s">
        <v>27</v>
      </c>
      <c r="G407" s="19">
        <v>2</v>
      </c>
      <c r="H407" s="20">
        <v>9000</v>
      </c>
      <c r="I407" s="24">
        <v>0.12</v>
      </c>
      <c r="J407" s="28">
        <f>Table2[[#This Row],[Quantity]]*Table2[[#This Row],[Unit_Price]]</f>
        <v>18000</v>
      </c>
      <c r="K407" s="31">
        <f t="shared" si="6"/>
        <v>15840</v>
      </c>
      <c r="L407" s="31">
        <f>Table2[[#This Row],[gross sales]]-Table2[[#This Row],[net sale]]</f>
        <v>2160</v>
      </c>
      <c r="M407" s="37" t="str">
        <f>TEXT(B407,"mmm")</f>
        <v>Aug</v>
      </c>
    </row>
    <row r="408" spans="1:13">
      <c r="A408" s="16">
        <v>1407</v>
      </c>
      <c r="B408" s="15">
        <v>45669</v>
      </c>
      <c r="C408" s="16" t="s">
        <v>31</v>
      </c>
      <c r="D408" s="16" t="s">
        <v>26</v>
      </c>
      <c r="E408" s="16" t="s">
        <v>17</v>
      </c>
      <c r="F408" s="16" t="s">
        <v>24</v>
      </c>
      <c r="G408" s="16">
        <v>9</v>
      </c>
      <c r="H408" s="17">
        <v>8500</v>
      </c>
      <c r="I408" s="23">
        <v>0</v>
      </c>
      <c r="J408" s="28">
        <f>Table2[[#This Row],[Quantity]]*Table2[[#This Row],[Unit_Price]]</f>
        <v>76500</v>
      </c>
      <c r="K408" s="31">
        <f t="shared" si="6"/>
        <v>76500</v>
      </c>
      <c r="L408" s="31">
        <f>Table2[[#This Row],[gross sales]]-Table2[[#This Row],[net sale]]</f>
        <v>0</v>
      </c>
      <c r="M408" s="36" t="str">
        <f>TEXT(B408,"mmm")</f>
        <v>Jan</v>
      </c>
    </row>
    <row r="409" spans="1:13">
      <c r="A409" s="19">
        <v>1408</v>
      </c>
      <c r="B409" s="18">
        <v>45681</v>
      </c>
      <c r="C409" s="19" t="s">
        <v>31</v>
      </c>
      <c r="D409" s="19" t="s">
        <v>26</v>
      </c>
      <c r="E409" s="19" t="s">
        <v>14</v>
      </c>
      <c r="F409" s="19" t="s">
        <v>18</v>
      </c>
      <c r="G409" s="19">
        <v>12</v>
      </c>
      <c r="H409" s="20">
        <v>8500</v>
      </c>
      <c r="I409" s="24">
        <v>0.15</v>
      </c>
      <c r="J409" s="28">
        <f>Table2[[#This Row],[Quantity]]*Table2[[#This Row],[Unit_Price]]</f>
        <v>102000</v>
      </c>
      <c r="K409" s="31">
        <f t="shared" si="6"/>
        <v>86700</v>
      </c>
      <c r="L409" s="31">
        <f>Table2[[#This Row],[gross sales]]-Table2[[#This Row],[net sale]]</f>
        <v>15300</v>
      </c>
      <c r="M409" s="37" t="str">
        <f>TEXT(B409,"mmm")</f>
        <v>Jan</v>
      </c>
    </row>
    <row r="410" spans="1:13">
      <c r="A410" s="16">
        <v>1409</v>
      </c>
      <c r="B410" s="15">
        <v>45693</v>
      </c>
      <c r="C410" s="16" t="s">
        <v>37</v>
      </c>
      <c r="D410" s="16" t="s">
        <v>36</v>
      </c>
      <c r="E410" s="16" t="s">
        <v>11</v>
      </c>
      <c r="F410" s="16" t="s">
        <v>15</v>
      </c>
      <c r="G410" s="16">
        <v>16</v>
      </c>
      <c r="H410" s="17">
        <v>1800</v>
      </c>
      <c r="I410" s="23">
        <v>0</v>
      </c>
      <c r="J410" s="28">
        <f>Table2[[#This Row],[Quantity]]*Table2[[#This Row],[Unit_Price]]</f>
        <v>28800</v>
      </c>
      <c r="K410" s="31">
        <f t="shared" si="6"/>
        <v>28800</v>
      </c>
      <c r="L410" s="31">
        <f>Table2[[#This Row],[gross sales]]-Table2[[#This Row],[net sale]]</f>
        <v>0</v>
      </c>
      <c r="M410" s="36" t="str">
        <f>TEXT(B410,"mmm")</f>
        <v>Feb</v>
      </c>
    </row>
    <row r="411" spans="1:13">
      <c r="A411" s="19">
        <v>1410</v>
      </c>
      <c r="B411" s="18">
        <v>45750</v>
      </c>
      <c r="C411" s="19" t="s">
        <v>35</v>
      </c>
      <c r="D411" s="19" t="s">
        <v>36</v>
      </c>
      <c r="E411" s="19" t="s">
        <v>22</v>
      </c>
      <c r="F411" s="19" t="s">
        <v>23</v>
      </c>
      <c r="G411" s="19">
        <v>5</v>
      </c>
      <c r="H411" s="20">
        <v>3500</v>
      </c>
      <c r="I411" s="24">
        <v>0.15</v>
      </c>
      <c r="J411" s="28">
        <f>Table2[[#This Row],[Quantity]]*Table2[[#This Row],[Unit_Price]]</f>
        <v>17500</v>
      </c>
      <c r="K411" s="31">
        <f t="shared" si="6"/>
        <v>14875</v>
      </c>
      <c r="L411" s="31">
        <f>Table2[[#This Row],[gross sales]]-Table2[[#This Row],[net sale]]</f>
        <v>2625</v>
      </c>
      <c r="M411" s="37" t="str">
        <f>TEXT(B411,"mmm")</f>
        <v>Apr</v>
      </c>
    </row>
    <row r="412" spans="1:13">
      <c r="A412" s="16">
        <v>1411</v>
      </c>
      <c r="B412" s="15">
        <v>45853</v>
      </c>
      <c r="C412" s="16" t="s">
        <v>34</v>
      </c>
      <c r="D412" s="16" t="s">
        <v>26</v>
      </c>
      <c r="E412" s="16" t="s">
        <v>14</v>
      </c>
      <c r="F412" s="16" t="s">
        <v>32</v>
      </c>
      <c r="G412" s="16">
        <v>13</v>
      </c>
      <c r="H412" s="17">
        <v>15000</v>
      </c>
      <c r="I412" s="23">
        <v>0.1</v>
      </c>
      <c r="J412" s="28">
        <f>Table2[[#This Row],[Quantity]]*Table2[[#This Row],[Unit_Price]]</f>
        <v>195000</v>
      </c>
      <c r="K412" s="31">
        <f t="shared" si="6"/>
        <v>175500</v>
      </c>
      <c r="L412" s="31">
        <f>Table2[[#This Row],[gross sales]]-Table2[[#This Row],[net sale]]</f>
        <v>19500</v>
      </c>
      <c r="M412" s="36" t="str">
        <f>TEXT(B412,"mmm")</f>
        <v>Jul</v>
      </c>
    </row>
    <row r="413" spans="1:13">
      <c r="A413" s="19">
        <v>1412</v>
      </c>
      <c r="B413" s="18">
        <v>45992</v>
      </c>
      <c r="C413" s="19" t="s">
        <v>38</v>
      </c>
      <c r="D413" s="19" t="s">
        <v>10</v>
      </c>
      <c r="E413" s="19" t="s">
        <v>17</v>
      </c>
      <c r="F413" s="19" t="s">
        <v>15</v>
      </c>
      <c r="G413" s="19">
        <v>12</v>
      </c>
      <c r="H413" s="20">
        <v>42000</v>
      </c>
      <c r="I413" s="24">
        <v>0</v>
      </c>
      <c r="J413" s="28">
        <f>Table2[[#This Row],[Quantity]]*Table2[[#This Row],[Unit_Price]]</f>
        <v>504000</v>
      </c>
      <c r="K413" s="31">
        <f t="shared" si="6"/>
        <v>504000</v>
      </c>
      <c r="L413" s="31">
        <f>Table2[[#This Row],[gross sales]]-Table2[[#This Row],[net sale]]</f>
        <v>0</v>
      </c>
      <c r="M413" s="37" t="str">
        <f>TEXT(B413,"mmm")</f>
        <v>Dec</v>
      </c>
    </row>
    <row r="414" spans="1:13">
      <c r="A414" s="16">
        <v>1413</v>
      </c>
      <c r="B414" s="15">
        <v>45928</v>
      </c>
      <c r="C414" s="16" t="s">
        <v>13</v>
      </c>
      <c r="D414" s="16" t="s">
        <v>10</v>
      </c>
      <c r="E414" s="16" t="s">
        <v>14</v>
      </c>
      <c r="F414" s="16" t="s">
        <v>27</v>
      </c>
      <c r="G414" s="16">
        <v>8</v>
      </c>
      <c r="H414" s="17">
        <v>1200</v>
      </c>
      <c r="I414" s="23">
        <v>0</v>
      </c>
      <c r="J414" s="28">
        <f>Table2[[#This Row],[Quantity]]*Table2[[#This Row],[Unit_Price]]</f>
        <v>9600</v>
      </c>
      <c r="K414" s="31">
        <f t="shared" si="6"/>
        <v>9600</v>
      </c>
      <c r="L414" s="31">
        <f>Table2[[#This Row],[gross sales]]-Table2[[#This Row],[net sale]]</f>
        <v>0</v>
      </c>
      <c r="M414" s="36" t="str">
        <f>TEXT(B414,"mmm")</f>
        <v>Sep</v>
      </c>
    </row>
    <row r="415" spans="1:13">
      <c r="A415" s="19">
        <v>1414</v>
      </c>
      <c r="B415" s="18">
        <v>45895</v>
      </c>
      <c r="C415" s="19" t="s">
        <v>29</v>
      </c>
      <c r="D415" s="19" t="s">
        <v>30</v>
      </c>
      <c r="E415" s="19" t="s">
        <v>22</v>
      </c>
      <c r="F415" s="19" t="s">
        <v>12</v>
      </c>
      <c r="G415" s="19">
        <v>18</v>
      </c>
      <c r="H415" s="19">
        <v>250</v>
      </c>
      <c r="I415" s="24">
        <v>0.1</v>
      </c>
      <c r="J415" s="28">
        <f>Table2[[#This Row],[Quantity]]*Table2[[#This Row],[Unit_Price]]</f>
        <v>4500</v>
      </c>
      <c r="K415" s="31">
        <f t="shared" si="6"/>
        <v>4050</v>
      </c>
      <c r="L415" s="31">
        <f>Table2[[#This Row],[gross sales]]-Table2[[#This Row],[net sale]]</f>
        <v>450</v>
      </c>
      <c r="M415" s="37" t="str">
        <f>TEXT(B415,"mmm")</f>
        <v>Aug</v>
      </c>
    </row>
    <row r="416" spans="1:13">
      <c r="A416" s="16">
        <v>1415</v>
      </c>
      <c r="B416" s="15">
        <v>45784</v>
      </c>
      <c r="C416" s="16" t="s">
        <v>34</v>
      </c>
      <c r="D416" s="16" t="s">
        <v>26</v>
      </c>
      <c r="E416" s="16" t="s">
        <v>11</v>
      </c>
      <c r="F416" s="16" t="s">
        <v>12</v>
      </c>
      <c r="G416" s="16">
        <v>12</v>
      </c>
      <c r="H416" s="17">
        <v>15000</v>
      </c>
      <c r="I416" s="23">
        <v>0.05</v>
      </c>
      <c r="J416" s="28">
        <f>Table2[[#This Row],[Quantity]]*Table2[[#This Row],[Unit_Price]]</f>
        <v>180000</v>
      </c>
      <c r="K416" s="31">
        <f t="shared" si="6"/>
        <v>171000</v>
      </c>
      <c r="L416" s="31">
        <f>Table2[[#This Row],[gross sales]]-Table2[[#This Row],[net sale]]</f>
        <v>9000</v>
      </c>
      <c r="M416" s="36" t="str">
        <f>TEXT(B416,"mmm")</f>
        <v>May</v>
      </c>
    </row>
    <row r="417" spans="1:13">
      <c r="A417" s="19">
        <v>1416</v>
      </c>
      <c r="B417" s="18">
        <v>45715</v>
      </c>
      <c r="C417" s="19" t="s">
        <v>16</v>
      </c>
      <c r="D417" s="19" t="s">
        <v>10</v>
      </c>
      <c r="E417" s="19" t="s">
        <v>14</v>
      </c>
      <c r="F417" s="19" t="s">
        <v>12</v>
      </c>
      <c r="G417" s="19">
        <v>14</v>
      </c>
      <c r="H417" s="20">
        <v>55000</v>
      </c>
      <c r="I417" s="24">
        <v>0.12</v>
      </c>
      <c r="J417" s="28">
        <f>Table2[[#This Row],[Quantity]]*Table2[[#This Row],[Unit_Price]]</f>
        <v>770000</v>
      </c>
      <c r="K417" s="31">
        <f t="shared" si="6"/>
        <v>677600</v>
      </c>
      <c r="L417" s="31">
        <f>Table2[[#This Row],[gross sales]]-Table2[[#This Row],[net sale]]</f>
        <v>92400</v>
      </c>
      <c r="M417" s="37" t="str">
        <f>TEXT(B417,"mmm")</f>
        <v>Feb</v>
      </c>
    </row>
    <row r="418" spans="1:13">
      <c r="A418" s="16">
        <v>1417</v>
      </c>
      <c r="B418" s="15">
        <v>45763</v>
      </c>
      <c r="C418" s="16" t="s">
        <v>9</v>
      </c>
      <c r="D418" s="16" t="s">
        <v>10</v>
      </c>
      <c r="E418" s="16" t="s">
        <v>14</v>
      </c>
      <c r="F418" s="16" t="s">
        <v>20</v>
      </c>
      <c r="G418" s="16">
        <v>4</v>
      </c>
      <c r="H418" s="17">
        <v>18000</v>
      </c>
      <c r="I418" s="23">
        <v>0.12</v>
      </c>
      <c r="J418" s="28">
        <f>Table2[[#This Row],[Quantity]]*Table2[[#This Row],[Unit_Price]]</f>
        <v>72000</v>
      </c>
      <c r="K418" s="31">
        <f t="shared" si="6"/>
        <v>63360</v>
      </c>
      <c r="L418" s="31">
        <f>Table2[[#This Row],[gross sales]]-Table2[[#This Row],[net sale]]</f>
        <v>8640</v>
      </c>
      <c r="M418" s="36" t="str">
        <f>TEXT(B418,"mmm")</f>
        <v>Apr</v>
      </c>
    </row>
    <row r="419" spans="1:13">
      <c r="A419" s="19">
        <v>1418</v>
      </c>
      <c r="B419" s="18">
        <v>45964</v>
      </c>
      <c r="C419" s="19" t="s">
        <v>29</v>
      </c>
      <c r="D419" s="19" t="s">
        <v>30</v>
      </c>
      <c r="E419" s="19" t="s">
        <v>14</v>
      </c>
      <c r="F419" s="19" t="s">
        <v>15</v>
      </c>
      <c r="G419" s="19">
        <v>2</v>
      </c>
      <c r="H419" s="19">
        <v>250</v>
      </c>
      <c r="I419" s="24">
        <v>0.05</v>
      </c>
      <c r="J419" s="28">
        <f>Table2[[#This Row],[Quantity]]*Table2[[#This Row],[Unit_Price]]</f>
        <v>500</v>
      </c>
      <c r="K419" s="31">
        <f t="shared" si="6"/>
        <v>475</v>
      </c>
      <c r="L419" s="31">
        <f>Table2[[#This Row],[gross sales]]-Table2[[#This Row],[net sale]]</f>
        <v>25</v>
      </c>
      <c r="M419" s="37" t="str">
        <f>TEXT(B419,"mmm")</f>
        <v>Nov</v>
      </c>
    </row>
    <row r="420" spans="1:13">
      <c r="A420" s="16">
        <v>1419</v>
      </c>
      <c r="B420" s="15">
        <v>45882</v>
      </c>
      <c r="C420" s="16" t="s">
        <v>19</v>
      </c>
      <c r="D420" s="16" t="s">
        <v>10</v>
      </c>
      <c r="E420" s="16" t="s">
        <v>14</v>
      </c>
      <c r="F420" s="16" t="s">
        <v>32</v>
      </c>
      <c r="G420" s="16">
        <v>18</v>
      </c>
      <c r="H420" s="16">
        <v>800</v>
      </c>
      <c r="I420" s="23">
        <v>0.05</v>
      </c>
      <c r="J420" s="28">
        <f>Table2[[#This Row],[Quantity]]*Table2[[#This Row],[Unit_Price]]</f>
        <v>14400</v>
      </c>
      <c r="K420" s="31">
        <f t="shared" si="6"/>
        <v>13680</v>
      </c>
      <c r="L420" s="31">
        <f>Table2[[#This Row],[gross sales]]-Table2[[#This Row],[net sale]]</f>
        <v>720</v>
      </c>
      <c r="M420" s="36" t="str">
        <f>TEXT(B420,"mmm")</f>
        <v>Aug</v>
      </c>
    </row>
    <row r="421" spans="1:13">
      <c r="A421" s="19">
        <v>1420</v>
      </c>
      <c r="B421" s="18">
        <v>45915</v>
      </c>
      <c r="C421" s="19" t="s">
        <v>21</v>
      </c>
      <c r="D421" s="19" t="s">
        <v>10</v>
      </c>
      <c r="E421" s="19" t="s">
        <v>11</v>
      </c>
      <c r="F421" s="19" t="s">
        <v>23</v>
      </c>
      <c r="G421" s="19">
        <v>8</v>
      </c>
      <c r="H421" s="20">
        <v>14000</v>
      </c>
      <c r="I421" s="24">
        <v>0.15</v>
      </c>
      <c r="J421" s="28">
        <f>Table2[[#This Row],[Quantity]]*Table2[[#This Row],[Unit_Price]]</f>
        <v>112000</v>
      </c>
      <c r="K421" s="31">
        <f t="shared" si="6"/>
        <v>95200</v>
      </c>
      <c r="L421" s="31">
        <f>Table2[[#This Row],[gross sales]]-Table2[[#This Row],[net sale]]</f>
        <v>16800</v>
      </c>
      <c r="M421" s="37" t="str">
        <f>TEXT(B421,"mmm")</f>
        <v>Sep</v>
      </c>
    </row>
    <row r="422" spans="1:13">
      <c r="A422" s="16">
        <v>1421</v>
      </c>
      <c r="B422" s="15">
        <v>45779</v>
      </c>
      <c r="C422" s="16" t="s">
        <v>21</v>
      </c>
      <c r="D422" s="16" t="s">
        <v>10</v>
      </c>
      <c r="E422" s="16" t="s">
        <v>17</v>
      </c>
      <c r="F422" s="16" t="s">
        <v>15</v>
      </c>
      <c r="G422" s="16">
        <v>5</v>
      </c>
      <c r="H422" s="17">
        <v>14000</v>
      </c>
      <c r="I422" s="23">
        <v>0.15</v>
      </c>
      <c r="J422" s="28">
        <f>Table2[[#This Row],[Quantity]]*Table2[[#This Row],[Unit_Price]]</f>
        <v>70000</v>
      </c>
      <c r="K422" s="31">
        <f t="shared" si="6"/>
        <v>59500</v>
      </c>
      <c r="L422" s="31">
        <f>Table2[[#This Row],[gross sales]]-Table2[[#This Row],[net sale]]</f>
        <v>10500</v>
      </c>
      <c r="M422" s="36" t="str">
        <f>TEXT(B422,"mmm")</f>
        <v>May</v>
      </c>
    </row>
    <row r="423" spans="1:13">
      <c r="A423" s="19">
        <v>1422</v>
      </c>
      <c r="B423" s="18">
        <v>45811</v>
      </c>
      <c r="C423" s="19" t="s">
        <v>21</v>
      </c>
      <c r="D423" s="19" t="s">
        <v>10</v>
      </c>
      <c r="E423" s="19" t="s">
        <v>17</v>
      </c>
      <c r="F423" s="19" t="s">
        <v>15</v>
      </c>
      <c r="G423" s="19">
        <v>2</v>
      </c>
      <c r="H423" s="20">
        <v>14000</v>
      </c>
      <c r="I423" s="24">
        <v>0.12</v>
      </c>
      <c r="J423" s="28">
        <f>Table2[[#This Row],[Quantity]]*Table2[[#This Row],[Unit_Price]]</f>
        <v>28000</v>
      </c>
      <c r="K423" s="31">
        <f t="shared" si="6"/>
        <v>24640</v>
      </c>
      <c r="L423" s="31">
        <f>Table2[[#This Row],[gross sales]]-Table2[[#This Row],[net sale]]</f>
        <v>3360</v>
      </c>
      <c r="M423" s="37" t="str">
        <f>TEXT(B423,"mmm")</f>
        <v>Jun</v>
      </c>
    </row>
    <row r="424" spans="1:13">
      <c r="A424" s="16">
        <v>1423</v>
      </c>
      <c r="B424" s="15">
        <v>45942</v>
      </c>
      <c r="C424" s="16" t="s">
        <v>34</v>
      </c>
      <c r="D424" s="16" t="s">
        <v>26</v>
      </c>
      <c r="E424" s="16" t="s">
        <v>22</v>
      </c>
      <c r="F424" s="16" t="s">
        <v>23</v>
      </c>
      <c r="G424" s="16">
        <v>2</v>
      </c>
      <c r="H424" s="17">
        <v>15000</v>
      </c>
      <c r="I424" s="23">
        <v>0.08</v>
      </c>
      <c r="J424" s="28">
        <f>Table2[[#This Row],[Quantity]]*Table2[[#This Row],[Unit_Price]]</f>
        <v>30000</v>
      </c>
      <c r="K424" s="31">
        <f t="shared" si="6"/>
        <v>27600</v>
      </c>
      <c r="L424" s="31">
        <f>Table2[[#This Row],[gross sales]]-Table2[[#This Row],[net sale]]</f>
        <v>2400</v>
      </c>
      <c r="M424" s="36" t="str">
        <f>TEXT(B424,"mmm")</f>
        <v>Oct</v>
      </c>
    </row>
    <row r="425" spans="1:13">
      <c r="A425" s="19">
        <v>1424</v>
      </c>
      <c r="B425" s="18">
        <v>46014</v>
      </c>
      <c r="C425" s="19" t="s">
        <v>31</v>
      </c>
      <c r="D425" s="19" t="s">
        <v>26</v>
      </c>
      <c r="E425" s="19" t="s">
        <v>11</v>
      </c>
      <c r="F425" s="19" t="s">
        <v>15</v>
      </c>
      <c r="G425" s="19">
        <v>14</v>
      </c>
      <c r="H425" s="20">
        <v>8500</v>
      </c>
      <c r="I425" s="24">
        <v>0.05</v>
      </c>
      <c r="J425" s="28">
        <f>Table2[[#This Row],[Quantity]]*Table2[[#This Row],[Unit_Price]]</f>
        <v>119000</v>
      </c>
      <c r="K425" s="31">
        <f t="shared" si="6"/>
        <v>113050</v>
      </c>
      <c r="L425" s="31">
        <f>Table2[[#This Row],[gross sales]]-Table2[[#This Row],[net sale]]</f>
        <v>5950</v>
      </c>
      <c r="M425" s="37" t="str">
        <f>TEXT(B425,"mmm")</f>
        <v>Dec</v>
      </c>
    </row>
    <row r="426" spans="1:13">
      <c r="A426" s="16">
        <v>1425</v>
      </c>
      <c r="B426" s="15">
        <v>45752</v>
      </c>
      <c r="C426" s="16" t="s">
        <v>35</v>
      </c>
      <c r="D426" s="16" t="s">
        <v>36</v>
      </c>
      <c r="E426" s="16" t="s">
        <v>17</v>
      </c>
      <c r="F426" s="16" t="s">
        <v>12</v>
      </c>
      <c r="G426" s="16">
        <v>18</v>
      </c>
      <c r="H426" s="17">
        <v>3500</v>
      </c>
      <c r="I426" s="23">
        <v>0.1</v>
      </c>
      <c r="J426" s="28">
        <f>Table2[[#This Row],[Quantity]]*Table2[[#This Row],[Unit_Price]]</f>
        <v>63000</v>
      </c>
      <c r="K426" s="31">
        <f t="shared" si="6"/>
        <v>56700</v>
      </c>
      <c r="L426" s="31">
        <f>Table2[[#This Row],[gross sales]]-Table2[[#This Row],[net sale]]</f>
        <v>6300</v>
      </c>
      <c r="M426" s="36" t="str">
        <f>TEXT(B426,"mmm")</f>
        <v>Apr</v>
      </c>
    </row>
    <row r="427" spans="1:13">
      <c r="A427" s="19">
        <v>1426</v>
      </c>
      <c r="B427" s="18">
        <v>45811</v>
      </c>
      <c r="C427" s="19" t="s">
        <v>38</v>
      </c>
      <c r="D427" s="19" t="s">
        <v>10</v>
      </c>
      <c r="E427" s="19" t="s">
        <v>14</v>
      </c>
      <c r="F427" s="19" t="s">
        <v>15</v>
      </c>
      <c r="G427" s="19">
        <v>5</v>
      </c>
      <c r="H427" s="20">
        <v>42000</v>
      </c>
      <c r="I427" s="24">
        <v>0.1</v>
      </c>
      <c r="J427" s="28">
        <f>Table2[[#This Row],[Quantity]]*Table2[[#This Row],[Unit_Price]]</f>
        <v>210000</v>
      </c>
      <c r="K427" s="31">
        <f t="shared" si="6"/>
        <v>189000</v>
      </c>
      <c r="L427" s="31">
        <f>Table2[[#This Row],[gross sales]]-Table2[[#This Row],[net sale]]</f>
        <v>21000</v>
      </c>
      <c r="M427" s="37" t="str">
        <f>TEXT(B427,"mmm")</f>
        <v>Jun</v>
      </c>
    </row>
    <row r="428" spans="1:13">
      <c r="A428" s="16">
        <v>1427</v>
      </c>
      <c r="B428" s="15">
        <v>45871</v>
      </c>
      <c r="C428" s="16" t="s">
        <v>25</v>
      </c>
      <c r="D428" s="16" t="s">
        <v>26</v>
      </c>
      <c r="E428" s="16" t="s">
        <v>22</v>
      </c>
      <c r="F428" s="16" t="s">
        <v>12</v>
      </c>
      <c r="G428" s="16">
        <v>17</v>
      </c>
      <c r="H428" s="17">
        <v>11000</v>
      </c>
      <c r="I428" s="23">
        <v>0.05</v>
      </c>
      <c r="J428" s="28">
        <f>Table2[[#This Row],[Quantity]]*Table2[[#This Row],[Unit_Price]]</f>
        <v>187000</v>
      </c>
      <c r="K428" s="31">
        <f t="shared" si="6"/>
        <v>177650</v>
      </c>
      <c r="L428" s="31">
        <f>Table2[[#This Row],[gross sales]]-Table2[[#This Row],[net sale]]</f>
        <v>9350</v>
      </c>
      <c r="M428" s="36" t="str">
        <f>TEXT(B428,"mmm")</f>
        <v>Aug</v>
      </c>
    </row>
    <row r="429" spans="1:13">
      <c r="A429" s="19">
        <v>1428</v>
      </c>
      <c r="B429" s="18">
        <v>45788</v>
      </c>
      <c r="C429" s="19" t="s">
        <v>19</v>
      </c>
      <c r="D429" s="19" t="s">
        <v>10</v>
      </c>
      <c r="E429" s="19" t="s">
        <v>14</v>
      </c>
      <c r="F429" s="19" t="s">
        <v>20</v>
      </c>
      <c r="G429" s="19">
        <v>11</v>
      </c>
      <c r="H429" s="19">
        <v>800</v>
      </c>
      <c r="I429" s="24">
        <v>0.15</v>
      </c>
      <c r="J429" s="28">
        <f>Table2[[#This Row],[Quantity]]*Table2[[#This Row],[Unit_Price]]</f>
        <v>8800</v>
      </c>
      <c r="K429" s="31">
        <f t="shared" si="6"/>
        <v>7480</v>
      </c>
      <c r="L429" s="31">
        <f>Table2[[#This Row],[gross sales]]-Table2[[#This Row],[net sale]]</f>
        <v>1320</v>
      </c>
      <c r="M429" s="37" t="str">
        <f>TEXT(B429,"mmm")</f>
        <v>May</v>
      </c>
    </row>
    <row r="430" spans="1:13">
      <c r="A430" s="16">
        <v>1429</v>
      </c>
      <c r="B430" s="15">
        <v>45847</v>
      </c>
      <c r="C430" s="16" t="s">
        <v>9</v>
      </c>
      <c r="D430" s="16" t="s">
        <v>10</v>
      </c>
      <c r="E430" s="16" t="s">
        <v>17</v>
      </c>
      <c r="F430" s="16" t="s">
        <v>18</v>
      </c>
      <c r="G430" s="16">
        <v>18</v>
      </c>
      <c r="H430" s="17">
        <v>18000</v>
      </c>
      <c r="I430" s="23">
        <v>0.15</v>
      </c>
      <c r="J430" s="28">
        <f>Table2[[#This Row],[Quantity]]*Table2[[#This Row],[Unit_Price]]</f>
        <v>324000</v>
      </c>
      <c r="K430" s="31">
        <f t="shared" si="6"/>
        <v>275400</v>
      </c>
      <c r="L430" s="31">
        <f>Table2[[#This Row],[gross sales]]-Table2[[#This Row],[net sale]]</f>
        <v>48600</v>
      </c>
      <c r="M430" s="36" t="str">
        <f>TEXT(B430,"mmm")</f>
        <v>Jul</v>
      </c>
    </row>
    <row r="431" spans="1:13">
      <c r="A431" s="19">
        <v>1430</v>
      </c>
      <c r="B431" s="18">
        <v>45795</v>
      </c>
      <c r="C431" s="19" t="s">
        <v>31</v>
      </c>
      <c r="D431" s="19" t="s">
        <v>26</v>
      </c>
      <c r="E431" s="19" t="s">
        <v>14</v>
      </c>
      <c r="F431" s="19" t="s">
        <v>24</v>
      </c>
      <c r="G431" s="19">
        <v>20</v>
      </c>
      <c r="H431" s="20">
        <v>8500</v>
      </c>
      <c r="I431" s="24">
        <v>0.12</v>
      </c>
      <c r="J431" s="28">
        <f>Table2[[#This Row],[Quantity]]*Table2[[#This Row],[Unit_Price]]</f>
        <v>170000</v>
      </c>
      <c r="K431" s="31">
        <f t="shared" si="6"/>
        <v>149600</v>
      </c>
      <c r="L431" s="31">
        <f>Table2[[#This Row],[gross sales]]-Table2[[#This Row],[net sale]]</f>
        <v>20400</v>
      </c>
      <c r="M431" s="37" t="str">
        <f>TEXT(B431,"mmm")</f>
        <v>May</v>
      </c>
    </row>
    <row r="432" spans="1:13">
      <c r="A432" s="16">
        <v>1431</v>
      </c>
      <c r="B432" s="15">
        <v>45754</v>
      </c>
      <c r="C432" s="16" t="s">
        <v>35</v>
      </c>
      <c r="D432" s="16" t="s">
        <v>36</v>
      </c>
      <c r="E432" s="16" t="s">
        <v>17</v>
      </c>
      <c r="F432" s="16" t="s">
        <v>20</v>
      </c>
      <c r="G432" s="16">
        <v>19</v>
      </c>
      <c r="H432" s="17">
        <v>3500</v>
      </c>
      <c r="I432" s="23">
        <v>0.15</v>
      </c>
      <c r="J432" s="28">
        <f>Table2[[#This Row],[Quantity]]*Table2[[#This Row],[Unit_Price]]</f>
        <v>66500</v>
      </c>
      <c r="K432" s="31">
        <f t="shared" si="6"/>
        <v>56525</v>
      </c>
      <c r="L432" s="31">
        <f>Table2[[#This Row],[gross sales]]-Table2[[#This Row],[net sale]]</f>
        <v>9975</v>
      </c>
      <c r="M432" s="36" t="str">
        <f>TEXT(B432,"mmm")</f>
        <v>Apr</v>
      </c>
    </row>
    <row r="433" spans="1:13">
      <c r="A433" s="19">
        <v>1432</v>
      </c>
      <c r="B433" s="18">
        <v>45764</v>
      </c>
      <c r="C433" s="19" t="s">
        <v>38</v>
      </c>
      <c r="D433" s="19" t="s">
        <v>10</v>
      </c>
      <c r="E433" s="19" t="s">
        <v>14</v>
      </c>
      <c r="F433" s="19" t="s">
        <v>12</v>
      </c>
      <c r="G433" s="19">
        <v>11</v>
      </c>
      <c r="H433" s="20">
        <v>42000</v>
      </c>
      <c r="I433" s="24">
        <v>0.08</v>
      </c>
      <c r="J433" s="28">
        <f>Table2[[#This Row],[Quantity]]*Table2[[#This Row],[Unit_Price]]</f>
        <v>462000</v>
      </c>
      <c r="K433" s="31">
        <f t="shared" si="6"/>
        <v>425040</v>
      </c>
      <c r="L433" s="31">
        <f>Table2[[#This Row],[gross sales]]-Table2[[#This Row],[net sale]]</f>
        <v>36960</v>
      </c>
      <c r="M433" s="37" t="str">
        <f>TEXT(B433,"mmm")</f>
        <v>Apr</v>
      </c>
    </row>
    <row r="434" spans="1:13">
      <c r="A434" s="16">
        <v>1433</v>
      </c>
      <c r="B434" s="15">
        <v>45755</v>
      </c>
      <c r="C434" s="16" t="s">
        <v>39</v>
      </c>
      <c r="D434" s="16" t="s">
        <v>30</v>
      </c>
      <c r="E434" s="16" t="s">
        <v>22</v>
      </c>
      <c r="F434" s="16" t="s">
        <v>12</v>
      </c>
      <c r="G434" s="16">
        <v>4</v>
      </c>
      <c r="H434" s="16">
        <v>180</v>
      </c>
      <c r="I434" s="23">
        <v>0.15</v>
      </c>
      <c r="J434" s="28">
        <f>Table2[[#This Row],[Quantity]]*Table2[[#This Row],[Unit_Price]]</f>
        <v>720</v>
      </c>
      <c r="K434" s="31">
        <f t="shared" si="6"/>
        <v>612</v>
      </c>
      <c r="L434" s="31">
        <f>Table2[[#This Row],[gross sales]]-Table2[[#This Row],[net sale]]</f>
        <v>108</v>
      </c>
      <c r="M434" s="36" t="str">
        <f>TEXT(B434,"mmm")</f>
        <v>Apr</v>
      </c>
    </row>
    <row r="435" spans="1:13">
      <c r="A435" s="19">
        <v>1434</v>
      </c>
      <c r="B435" s="18">
        <v>46014</v>
      </c>
      <c r="C435" s="19" t="s">
        <v>28</v>
      </c>
      <c r="D435" s="19" t="s">
        <v>26</v>
      </c>
      <c r="E435" s="19" t="s">
        <v>17</v>
      </c>
      <c r="F435" s="19" t="s">
        <v>23</v>
      </c>
      <c r="G435" s="19">
        <v>7</v>
      </c>
      <c r="H435" s="20">
        <v>9000</v>
      </c>
      <c r="I435" s="24">
        <v>0.1</v>
      </c>
      <c r="J435" s="28">
        <f>Table2[[#This Row],[Quantity]]*Table2[[#This Row],[Unit_Price]]</f>
        <v>63000</v>
      </c>
      <c r="K435" s="31">
        <f t="shared" si="6"/>
        <v>56700</v>
      </c>
      <c r="L435" s="31">
        <f>Table2[[#This Row],[gross sales]]-Table2[[#This Row],[net sale]]</f>
        <v>6300</v>
      </c>
      <c r="M435" s="37" t="str">
        <f>TEXT(B435,"mmm")</f>
        <v>Dec</v>
      </c>
    </row>
    <row r="436" spans="1:13">
      <c r="A436" s="16">
        <v>1435</v>
      </c>
      <c r="B436" s="15">
        <v>45802</v>
      </c>
      <c r="C436" s="16" t="s">
        <v>31</v>
      </c>
      <c r="D436" s="16" t="s">
        <v>26</v>
      </c>
      <c r="E436" s="16" t="s">
        <v>11</v>
      </c>
      <c r="F436" s="16" t="s">
        <v>27</v>
      </c>
      <c r="G436" s="16">
        <v>15</v>
      </c>
      <c r="H436" s="17">
        <v>8500</v>
      </c>
      <c r="I436" s="23">
        <v>0.12</v>
      </c>
      <c r="J436" s="28">
        <f>Table2[[#This Row],[Quantity]]*Table2[[#This Row],[Unit_Price]]</f>
        <v>127500</v>
      </c>
      <c r="K436" s="31">
        <f t="shared" si="6"/>
        <v>112200</v>
      </c>
      <c r="L436" s="31">
        <f>Table2[[#This Row],[gross sales]]-Table2[[#This Row],[net sale]]</f>
        <v>15300</v>
      </c>
      <c r="M436" s="36" t="str">
        <f>TEXT(B436,"mmm")</f>
        <v>May</v>
      </c>
    </row>
    <row r="437" spans="1:13">
      <c r="A437" s="19">
        <v>1436</v>
      </c>
      <c r="B437" s="18">
        <v>45791</v>
      </c>
      <c r="C437" s="19" t="s">
        <v>33</v>
      </c>
      <c r="D437" s="19" t="s">
        <v>10</v>
      </c>
      <c r="E437" s="19" t="s">
        <v>22</v>
      </c>
      <c r="F437" s="19" t="s">
        <v>24</v>
      </c>
      <c r="G437" s="19">
        <v>17</v>
      </c>
      <c r="H437" s="20">
        <v>2500</v>
      </c>
      <c r="I437" s="24">
        <v>0.1</v>
      </c>
      <c r="J437" s="28">
        <f>Table2[[#This Row],[Quantity]]*Table2[[#This Row],[Unit_Price]]</f>
        <v>42500</v>
      </c>
      <c r="K437" s="31">
        <f t="shared" si="6"/>
        <v>38250</v>
      </c>
      <c r="L437" s="31">
        <f>Table2[[#This Row],[gross sales]]-Table2[[#This Row],[net sale]]</f>
        <v>4250</v>
      </c>
      <c r="M437" s="37" t="str">
        <f>TEXT(B437,"mmm")</f>
        <v>May</v>
      </c>
    </row>
    <row r="438" spans="1:13">
      <c r="A438" s="16">
        <v>1437</v>
      </c>
      <c r="B438" s="15">
        <v>45898</v>
      </c>
      <c r="C438" s="16" t="s">
        <v>35</v>
      </c>
      <c r="D438" s="16" t="s">
        <v>36</v>
      </c>
      <c r="E438" s="16" t="s">
        <v>11</v>
      </c>
      <c r="F438" s="16" t="s">
        <v>23</v>
      </c>
      <c r="G438" s="16">
        <v>11</v>
      </c>
      <c r="H438" s="17">
        <v>3500</v>
      </c>
      <c r="I438" s="23">
        <v>0.05</v>
      </c>
      <c r="J438" s="28">
        <f>Table2[[#This Row],[Quantity]]*Table2[[#This Row],[Unit_Price]]</f>
        <v>38500</v>
      </c>
      <c r="K438" s="31">
        <f t="shared" si="6"/>
        <v>36575</v>
      </c>
      <c r="L438" s="31">
        <f>Table2[[#This Row],[gross sales]]-Table2[[#This Row],[net sale]]</f>
        <v>1925</v>
      </c>
      <c r="M438" s="36" t="str">
        <f>TEXT(B438,"mmm")</f>
        <v>Aug</v>
      </c>
    </row>
    <row r="439" spans="1:13">
      <c r="A439" s="19">
        <v>1438</v>
      </c>
      <c r="B439" s="18">
        <v>45869</v>
      </c>
      <c r="C439" s="19" t="s">
        <v>16</v>
      </c>
      <c r="D439" s="19" t="s">
        <v>10</v>
      </c>
      <c r="E439" s="19" t="s">
        <v>17</v>
      </c>
      <c r="F439" s="19" t="s">
        <v>18</v>
      </c>
      <c r="G439" s="19">
        <v>19</v>
      </c>
      <c r="H439" s="20">
        <v>55000</v>
      </c>
      <c r="I439" s="24">
        <v>0.05</v>
      </c>
      <c r="J439" s="28">
        <f>Table2[[#This Row],[Quantity]]*Table2[[#This Row],[Unit_Price]]</f>
        <v>1045000</v>
      </c>
      <c r="K439" s="31">
        <f t="shared" si="6"/>
        <v>992750</v>
      </c>
      <c r="L439" s="31">
        <f>Table2[[#This Row],[gross sales]]-Table2[[#This Row],[net sale]]</f>
        <v>52250</v>
      </c>
      <c r="M439" s="37" t="str">
        <f>TEXT(B439,"mmm")</f>
        <v>Jul</v>
      </c>
    </row>
    <row r="440" spans="1:13">
      <c r="A440" s="16">
        <v>1439</v>
      </c>
      <c r="B440" s="15">
        <v>45791</v>
      </c>
      <c r="C440" s="16" t="s">
        <v>25</v>
      </c>
      <c r="D440" s="16" t="s">
        <v>26</v>
      </c>
      <c r="E440" s="16" t="s">
        <v>22</v>
      </c>
      <c r="F440" s="16" t="s">
        <v>27</v>
      </c>
      <c r="G440" s="16">
        <v>19</v>
      </c>
      <c r="H440" s="17">
        <v>11000</v>
      </c>
      <c r="I440" s="23">
        <v>0.12</v>
      </c>
      <c r="J440" s="28">
        <f>Table2[[#This Row],[Quantity]]*Table2[[#This Row],[Unit_Price]]</f>
        <v>209000</v>
      </c>
      <c r="K440" s="31">
        <f t="shared" si="6"/>
        <v>183920</v>
      </c>
      <c r="L440" s="31">
        <f>Table2[[#This Row],[gross sales]]-Table2[[#This Row],[net sale]]</f>
        <v>25080</v>
      </c>
      <c r="M440" s="36" t="str">
        <f>TEXT(B440,"mmm")</f>
        <v>May</v>
      </c>
    </row>
    <row r="441" spans="1:13">
      <c r="A441" s="19">
        <v>1440</v>
      </c>
      <c r="B441" s="18">
        <v>45736</v>
      </c>
      <c r="C441" s="19" t="s">
        <v>19</v>
      </c>
      <c r="D441" s="19" t="s">
        <v>10</v>
      </c>
      <c r="E441" s="19" t="s">
        <v>22</v>
      </c>
      <c r="F441" s="19" t="s">
        <v>12</v>
      </c>
      <c r="G441" s="19">
        <v>11</v>
      </c>
      <c r="H441" s="19">
        <v>800</v>
      </c>
      <c r="I441" s="24">
        <v>0.05</v>
      </c>
      <c r="J441" s="28">
        <f>Table2[[#This Row],[Quantity]]*Table2[[#This Row],[Unit_Price]]</f>
        <v>8800</v>
      </c>
      <c r="K441" s="31">
        <f t="shared" si="6"/>
        <v>8360</v>
      </c>
      <c r="L441" s="31">
        <f>Table2[[#This Row],[gross sales]]-Table2[[#This Row],[net sale]]</f>
        <v>440</v>
      </c>
      <c r="M441" s="37" t="str">
        <f>TEXT(B441,"mmm")</f>
        <v>Mar</v>
      </c>
    </row>
    <row r="442" spans="1:13">
      <c r="A442" s="16">
        <v>1441</v>
      </c>
      <c r="B442" s="15">
        <v>45913</v>
      </c>
      <c r="C442" s="16" t="s">
        <v>25</v>
      </c>
      <c r="D442" s="16" t="s">
        <v>26</v>
      </c>
      <c r="E442" s="16" t="s">
        <v>22</v>
      </c>
      <c r="F442" s="16" t="s">
        <v>20</v>
      </c>
      <c r="G442" s="16">
        <v>11</v>
      </c>
      <c r="H442" s="17">
        <v>11000</v>
      </c>
      <c r="I442" s="23">
        <v>0.08</v>
      </c>
      <c r="J442" s="28">
        <f>Table2[[#This Row],[Quantity]]*Table2[[#This Row],[Unit_Price]]</f>
        <v>121000</v>
      </c>
      <c r="K442" s="31">
        <f t="shared" si="6"/>
        <v>111320</v>
      </c>
      <c r="L442" s="31">
        <f>Table2[[#This Row],[gross sales]]-Table2[[#This Row],[net sale]]</f>
        <v>9680</v>
      </c>
      <c r="M442" s="36" t="str">
        <f>TEXT(B442,"mmm")</f>
        <v>Sep</v>
      </c>
    </row>
    <row r="443" spans="1:13">
      <c r="A443" s="19">
        <v>1442</v>
      </c>
      <c r="B443" s="18">
        <v>45893</v>
      </c>
      <c r="C443" s="19" t="s">
        <v>13</v>
      </c>
      <c r="D443" s="19" t="s">
        <v>10</v>
      </c>
      <c r="E443" s="19" t="s">
        <v>17</v>
      </c>
      <c r="F443" s="19" t="s">
        <v>20</v>
      </c>
      <c r="G443" s="19">
        <v>12</v>
      </c>
      <c r="H443" s="20">
        <v>1200</v>
      </c>
      <c r="I443" s="24">
        <v>0.05</v>
      </c>
      <c r="J443" s="28">
        <f>Table2[[#This Row],[Quantity]]*Table2[[#This Row],[Unit_Price]]</f>
        <v>14400</v>
      </c>
      <c r="K443" s="31">
        <f t="shared" si="6"/>
        <v>13680</v>
      </c>
      <c r="L443" s="31">
        <f>Table2[[#This Row],[gross sales]]-Table2[[#This Row],[net sale]]</f>
        <v>720</v>
      </c>
      <c r="M443" s="37" t="str">
        <f>TEXT(B443,"mmm")</f>
        <v>Aug</v>
      </c>
    </row>
    <row r="444" spans="1:13">
      <c r="A444" s="16">
        <v>1443</v>
      </c>
      <c r="B444" s="15">
        <v>45752</v>
      </c>
      <c r="C444" s="16" t="s">
        <v>37</v>
      </c>
      <c r="D444" s="16" t="s">
        <v>36</v>
      </c>
      <c r="E444" s="16" t="s">
        <v>14</v>
      </c>
      <c r="F444" s="16" t="s">
        <v>18</v>
      </c>
      <c r="G444" s="16">
        <v>18</v>
      </c>
      <c r="H444" s="17">
        <v>1800</v>
      </c>
      <c r="I444" s="23">
        <v>0.15</v>
      </c>
      <c r="J444" s="28">
        <f>Table2[[#This Row],[Quantity]]*Table2[[#This Row],[Unit_Price]]</f>
        <v>32400</v>
      </c>
      <c r="K444" s="31">
        <f t="shared" si="6"/>
        <v>27540</v>
      </c>
      <c r="L444" s="31">
        <f>Table2[[#This Row],[gross sales]]-Table2[[#This Row],[net sale]]</f>
        <v>4860</v>
      </c>
      <c r="M444" s="36" t="str">
        <f>TEXT(B444,"mmm")</f>
        <v>Apr</v>
      </c>
    </row>
    <row r="445" spans="1:13">
      <c r="A445" s="19">
        <v>1444</v>
      </c>
      <c r="B445" s="18">
        <v>45696</v>
      </c>
      <c r="C445" s="19" t="s">
        <v>38</v>
      </c>
      <c r="D445" s="19" t="s">
        <v>10</v>
      </c>
      <c r="E445" s="19" t="s">
        <v>22</v>
      </c>
      <c r="F445" s="19" t="s">
        <v>32</v>
      </c>
      <c r="G445" s="19">
        <v>2</v>
      </c>
      <c r="H445" s="20">
        <v>42000</v>
      </c>
      <c r="I445" s="24">
        <v>0</v>
      </c>
      <c r="J445" s="28">
        <f>Table2[[#This Row],[Quantity]]*Table2[[#This Row],[Unit_Price]]</f>
        <v>84000</v>
      </c>
      <c r="K445" s="31">
        <f t="shared" si="6"/>
        <v>84000</v>
      </c>
      <c r="L445" s="31">
        <f>Table2[[#This Row],[gross sales]]-Table2[[#This Row],[net sale]]</f>
        <v>0</v>
      </c>
      <c r="M445" s="37" t="str">
        <f>TEXT(B445,"mmm")</f>
        <v>Feb</v>
      </c>
    </row>
    <row r="446" spans="1:13">
      <c r="A446" s="16">
        <v>1445</v>
      </c>
      <c r="B446" s="15">
        <v>45980</v>
      </c>
      <c r="C446" s="16" t="s">
        <v>19</v>
      </c>
      <c r="D446" s="16" t="s">
        <v>10</v>
      </c>
      <c r="E446" s="16" t="s">
        <v>17</v>
      </c>
      <c r="F446" s="16" t="s">
        <v>18</v>
      </c>
      <c r="G446" s="16">
        <v>3</v>
      </c>
      <c r="H446" s="16">
        <v>800</v>
      </c>
      <c r="I446" s="23">
        <v>0.15</v>
      </c>
      <c r="J446" s="28">
        <f>Table2[[#This Row],[Quantity]]*Table2[[#This Row],[Unit_Price]]</f>
        <v>2400</v>
      </c>
      <c r="K446" s="31">
        <f t="shared" si="6"/>
        <v>2040</v>
      </c>
      <c r="L446" s="31">
        <f>Table2[[#This Row],[gross sales]]-Table2[[#This Row],[net sale]]</f>
        <v>360</v>
      </c>
      <c r="M446" s="36" t="str">
        <f>TEXT(B446,"mmm")</f>
        <v>Nov</v>
      </c>
    </row>
    <row r="447" spans="1:13">
      <c r="A447" s="19">
        <v>1446</v>
      </c>
      <c r="B447" s="18">
        <v>45769</v>
      </c>
      <c r="C447" s="19" t="s">
        <v>25</v>
      </c>
      <c r="D447" s="19" t="s">
        <v>26</v>
      </c>
      <c r="E447" s="19" t="s">
        <v>14</v>
      </c>
      <c r="F447" s="19" t="s">
        <v>20</v>
      </c>
      <c r="G447" s="19">
        <v>15</v>
      </c>
      <c r="H447" s="20">
        <v>11000</v>
      </c>
      <c r="I447" s="24">
        <v>0.08</v>
      </c>
      <c r="J447" s="28">
        <f>Table2[[#This Row],[Quantity]]*Table2[[#This Row],[Unit_Price]]</f>
        <v>165000</v>
      </c>
      <c r="K447" s="31">
        <f t="shared" si="6"/>
        <v>151800</v>
      </c>
      <c r="L447" s="31">
        <f>Table2[[#This Row],[gross sales]]-Table2[[#This Row],[net sale]]</f>
        <v>13200</v>
      </c>
      <c r="M447" s="37" t="str">
        <f>TEXT(B447,"mmm")</f>
        <v>Apr</v>
      </c>
    </row>
    <row r="448" spans="1:13">
      <c r="A448" s="16">
        <v>1447</v>
      </c>
      <c r="B448" s="15">
        <v>45995</v>
      </c>
      <c r="C448" s="16" t="s">
        <v>34</v>
      </c>
      <c r="D448" s="16" t="s">
        <v>26</v>
      </c>
      <c r="E448" s="16" t="s">
        <v>22</v>
      </c>
      <c r="F448" s="16" t="s">
        <v>18</v>
      </c>
      <c r="G448" s="16">
        <v>1</v>
      </c>
      <c r="H448" s="17">
        <v>15000</v>
      </c>
      <c r="I448" s="23">
        <v>0</v>
      </c>
      <c r="J448" s="28">
        <f>Table2[[#This Row],[Quantity]]*Table2[[#This Row],[Unit_Price]]</f>
        <v>15000</v>
      </c>
      <c r="K448" s="31">
        <f t="shared" si="6"/>
        <v>15000</v>
      </c>
      <c r="L448" s="31">
        <f>Table2[[#This Row],[gross sales]]-Table2[[#This Row],[net sale]]</f>
        <v>0</v>
      </c>
      <c r="M448" s="36" t="str">
        <f>TEXT(B448,"mmm")</f>
        <v>Dec</v>
      </c>
    </row>
    <row r="449" spans="1:13">
      <c r="A449" s="19">
        <v>1448</v>
      </c>
      <c r="B449" s="18">
        <v>45666</v>
      </c>
      <c r="C449" s="19" t="s">
        <v>25</v>
      </c>
      <c r="D449" s="19" t="s">
        <v>26</v>
      </c>
      <c r="E449" s="19" t="s">
        <v>11</v>
      </c>
      <c r="F449" s="19" t="s">
        <v>18</v>
      </c>
      <c r="G449" s="19">
        <v>9</v>
      </c>
      <c r="H449" s="20">
        <v>11000</v>
      </c>
      <c r="I449" s="24">
        <v>0.12</v>
      </c>
      <c r="J449" s="28">
        <f>Table2[[#This Row],[Quantity]]*Table2[[#This Row],[Unit_Price]]</f>
        <v>99000</v>
      </c>
      <c r="K449" s="31">
        <f t="shared" si="6"/>
        <v>87120</v>
      </c>
      <c r="L449" s="31">
        <f>Table2[[#This Row],[gross sales]]-Table2[[#This Row],[net sale]]</f>
        <v>11880</v>
      </c>
      <c r="M449" s="37" t="str">
        <f>TEXT(B449,"mmm")</f>
        <v>Jan</v>
      </c>
    </row>
    <row r="450" spans="1:13">
      <c r="A450" s="16">
        <v>1449</v>
      </c>
      <c r="B450" s="15">
        <v>45915</v>
      </c>
      <c r="C450" s="16" t="s">
        <v>38</v>
      </c>
      <c r="D450" s="16" t="s">
        <v>10</v>
      </c>
      <c r="E450" s="16" t="s">
        <v>14</v>
      </c>
      <c r="F450" s="16" t="s">
        <v>24</v>
      </c>
      <c r="G450" s="16">
        <v>14</v>
      </c>
      <c r="H450" s="17">
        <v>42000</v>
      </c>
      <c r="I450" s="23">
        <v>0.05</v>
      </c>
      <c r="J450" s="28">
        <f>Table2[[#This Row],[Quantity]]*Table2[[#This Row],[Unit_Price]]</f>
        <v>588000</v>
      </c>
      <c r="K450" s="31">
        <f t="shared" ref="K450:K513" si="7">J450*(1-I450)</f>
        <v>558600</v>
      </c>
      <c r="L450" s="31">
        <f>Table2[[#This Row],[gross sales]]-Table2[[#This Row],[net sale]]</f>
        <v>29400</v>
      </c>
      <c r="M450" s="36" t="str">
        <f>TEXT(B450,"mmm")</f>
        <v>Sep</v>
      </c>
    </row>
    <row r="451" spans="1:13">
      <c r="A451" s="19">
        <v>1450</v>
      </c>
      <c r="B451" s="18">
        <v>45926</v>
      </c>
      <c r="C451" s="19" t="s">
        <v>13</v>
      </c>
      <c r="D451" s="19" t="s">
        <v>10</v>
      </c>
      <c r="E451" s="19" t="s">
        <v>11</v>
      </c>
      <c r="F451" s="19" t="s">
        <v>23</v>
      </c>
      <c r="G451" s="19">
        <v>8</v>
      </c>
      <c r="H451" s="20">
        <v>1200</v>
      </c>
      <c r="I451" s="24">
        <v>0.05</v>
      </c>
      <c r="J451" s="28">
        <f>Table2[[#This Row],[Quantity]]*Table2[[#This Row],[Unit_Price]]</f>
        <v>9600</v>
      </c>
      <c r="K451" s="31">
        <f t="shared" si="7"/>
        <v>9120</v>
      </c>
      <c r="L451" s="31">
        <f>Table2[[#This Row],[gross sales]]-Table2[[#This Row],[net sale]]</f>
        <v>480</v>
      </c>
      <c r="M451" s="37" t="str">
        <f>TEXT(B451,"mmm")</f>
        <v>Sep</v>
      </c>
    </row>
    <row r="452" spans="1:13">
      <c r="A452" s="16">
        <v>1451</v>
      </c>
      <c r="B452" s="15">
        <v>45794</v>
      </c>
      <c r="C452" s="16" t="s">
        <v>35</v>
      </c>
      <c r="D452" s="16" t="s">
        <v>36</v>
      </c>
      <c r="E452" s="16" t="s">
        <v>11</v>
      </c>
      <c r="F452" s="16" t="s">
        <v>15</v>
      </c>
      <c r="G452" s="16">
        <v>13</v>
      </c>
      <c r="H452" s="17">
        <v>3500</v>
      </c>
      <c r="I452" s="23">
        <v>0</v>
      </c>
      <c r="J452" s="28">
        <f>Table2[[#This Row],[Quantity]]*Table2[[#This Row],[Unit_Price]]</f>
        <v>45500</v>
      </c>
      <c r="K452" s="31">
        <f t="shared" si="7"/>
        <v>45500</v>
      </c>
      <c r="L452" s="31">
        <f>Table2[[#This Row],[gross sales]]-Table2[[#This Row],[net sale]]</f>
        <v>0</v>
      </c>
      <c r="M452" s="36" t="str">
        <f>TEXT(B452,"mmm")</f>
        <v>May</v>
      </c>
    </row>
    <row r="453" spans="1:13">
      <c r="A453" s="19">
        <v>1452</v>
      </c>
      <c r="B453" s="18">
        <v>45893</v>
      </c>
      <c r="C453" s="19" t="s">
        <v>28</v>
      </c>
      <c r="D453" s="19" t="s">
        <v>26</v>
      </c>
      <c r="E453" s="19" t="s">
        <v>17</v>
      </c>
      <c r="F453" s="19" t="s">
        <v>27</v>
      </c>
      <c r="G453" s="19">
        <v>8</v>
      </c>
      <c r="H453" s="20">
        <v>9000</v>
      </c>
      <c r="I453" s="24">
        <v>0.15</v>
      </c>
      <c r="J453" s="28">
        <f>Table2[[#This Row],[Quantity]]*Table2[[#This Row],[Unit_Price]]</f>
        <v>72000</v>
      </c>
      <c r="K453" s="31">
        <f t="shared" si="7"/>
        <v>61200</v>
      </c>
      <c r="L453" s="31">
        <f>Table2[[#This Row],[gross sales]]-Table2[[#This Row],[net sale]]</f>
        <v>10800</v>
      </c>
      <c r="M453" s="37" t="str">
        <f>TEXT(B453,"mmm")</f>
        <v>Aug</v>
      </c>
    </row>
    <row r="454" spans="1:13">
      <c r="A454" s="16">
        <v>1453</v>
      </c>
      <c r="B454" s="15">
        <v>46008</v>
      </c>
      <c r="C454" s="16" t="s">
        <v>38</v>
      </c>
      <c r="D454" s="16" t="s">
        <v>10</v>
      </c>
      <c r="E454" s="16" t="s">
        <v>14</v>
      </c>
      <c r="F454" s="16" t="s">
        <v>24</v>
      </c>
      <c r="G454" s="16">
        <v>3</v>
      </c>
      <c r="H454" s="17">
        <v>42000</v>
      </c>
      <c r="I454" s="23">
        <v>0.15</v>
      </c>
      <c r="J454" s="28">
        <f>Table2[[#This Row],[Quantity]]*Table2[[#This Row],[Unit_Price]]</f>
        <v>126000</v>
      </c>
      <c r="K454" s="31">
        <f t="shared" si="7"/>
        <v>107100</v>
      </c>
      <c r="L454" s="31">
        <f>Table2[[#This Row],[gross sales]]-Table2[[#This Row],[net sale]]</f>
        <v>18900</v>
      </c>
      <c r="M454" s="36" t="str">
        <f>TEXT(B454,"mmm")</f>
        <v>Dec</v>
      </c>
    </row>
    <row r="455" spans="1:13">
      <c r="A455" s="19">
        <v>1454</v>
      </c>
      <c r="B455" s="18">
        <v>45865</v>
      </c>
      <c r="C455" s="19" t="s">
        <v>31</v>
      </c>
      <c r="D455" s="19" t="s">
        <v>26</v>
      </c>
      <c r="E455" s="19" t="s">
        <v>22</v>
      </c>
      <c r="F455" s="19" t="s">
        <v>18</v>
      </c>
      <c r="G455" s="19">
        <v>13</v>
      </c>
      <c r="H455" s="20">
        <v>8500</v>
      </c>
      <c r="I455" s="24">
        <v>0.12</v>
      </c>
      <c r="J455" s="28">
        <f>Table2[[#This Row],[Quantity]]*Table2[[#This Row],[Unit_Price]]</f>
        <v>110500</v>
      </c>
      <c r="K455" s="31">
        <f t="shared" si="7"/>
        <v>97240</v>
      </c>
      <c r="L455" s="31">
        <f>Table2[[#This Row],[gross sales]]-Table2[[#This Row],[net sale]]</f>
        <v>13260</v>
      </c>
      <c r="M455" s="37" t="str">
        <f>TEXT(B455,"mmm")</f>
        <v>Jul</v>
      </c>
    </row>
    <row r="456" spans="1:13">
      <c r="A456" s="16">
        <v>1455</v>
      </c>
      <c r="B456" s="15">
        <v>45984</v>
      </c>
      <c r="C456" s="16" t="s">
        <v>16</v>
      </c>
      <c r="D456" s="16" t="s">
        <v>10</v>
      </c>
      <c r="E456" s="16" t="s">
        <v>22</v>
      </c>
      <c r="F456" s="16" t="s">
        <v>15</v>
      </c>
      <c r="G456" s="16">
        <v>6</v>
      </c>
      <c r="H456" s="17">
        <v>55000</v>
      </c>
      <c r="I456" s="23">
        <v>0</v>
      </c>
      <c r="J456" s="28">
        <f>Table2[[#This Row],[Quantity]]*Table2[[#This Row],[Unit_Price]]</f>
        <v>330000</v>
      </c>
      <c r="K456" s="31">
        <f t="shared" si="7"/>
        <v>330000</v>
      </c>
      <c r="L456" s="31">
        <f>Table2[[#This Row],[gross sales]]-Table2[[#This Row],[net sale]]</f>
        <v>0</v>
      </c>
      <c r="M456" s="36" t="str">
        <f>TEXT(B456,"mmm")</f>
        <v>Nov</v>
      </c>
    </row>
    <row r="457" spans="1:13">
      <c r="A457" s="19">
        <v>1456</v>
      </c>
      <c r="B457" s="18">
        <v>45988</v>
      </c>
      <c r="C457" s="19" t="s">
        <v>35</v>
      </c>
      <c r="D457" s="19" t="s">
        <v>36</v>
      </c>
      <c r="E457" s="19" t="s">
        <v>14</v>
      </c>
      <c r="F457" s="19" t="s">
        <v>18</v>
      </c>
      <c r="G457" s="19">
        <v>11</v>
      </c>
      <c r="H457" s="20">
        <v>3500</v>
      </c>
      <c r="I457" s="24">
        <v>0.12</v>
      </c>
      <c r="J457" s="28">
        <f>Table2[[#This Row],[Quantity]]*Table2[[#This Row],[Unit_Price]]</f>
        <v>38500</v>
      </c>
      <c r="K457" s="31">
        <f t="shared" si="7"/>
        <v>33880</v>
      </c>
      <c r="L457" s="31">
        <f>Table2[[#This Row],[gross sales]]-Table2[[#This Row],[net sale]]</f>
        <v>4620</v>
      </c>
      <c r="M457" s="37" t="str">
        <f>TEXT(B457,"mmm")</f>
        <v>Nov</v>
      </c>
    </row>
    <row r="458" spans="1:13">
      <c r="A458" s="16">
        <v>1457</v>
      </c>
      <c r="B458" s="15">
        <v>45775</v>
      </c>
      <c r="C458" s="16" t="s">
        <v>19</v>
      </c>
      <c r="D458" s="16" t="s">
        <v>10</v>
      </c>
      <c r="E458" s="16" t="s">
        <v>11</v>
      </c>
      <c r="F458" s="16" t="s">
        <v>18</v>
      </c>
      <c r="G458" s="16">
        <v>19</v>
      </c>
      <c r="H458" s="16">
        <v>800</v>
      </c>
      <c r="I458" s="23">
        <v>0.1</v>
      </c>
      <c r="J458" s="28">
        <f>Table2[[#This Row],[Quantity]]*Table2[[#This Row],[Unit_Price]]</f>
        <v>15200</v>
      </c>
      <c r="K458" s="31">
        <f t="shared" si="7"/>
        <v>13680</v>
      </c>
      <c r="L458" s="31">
        <f>Table2[[#This Row],[gross sales]]-Table2[[#This Row],[net sale]]</f>
        <v>1520</v>
      </c>
      <c r="M458" s="36" t="str">
        <f>TEXT(B458,"mmm")</f>
        <v>Apr</v>
      </c>
    </row>
    <row r="459" spans="1:13">
      <c r="A459" s="19">
        <v>1458</v>
      </c>
      <c r="B459" s="18">
        <v>45696</v>
      </c>
      <c r="C459" s="19" t="s">
        <v>29</v>
      </c>
      <c r="D459" s="19" t="s">
        <v>30</v>
      </c>
      <c r="E459" s="19" t="s">
        <v>14</v>
      </c>
      <c r="F459" s="19" t="s">
        <v>32</v>
      </c>
      <c r="G459" s="19">
        <v>9</v>
      </c>
      <c r="H459" s="19">
        <v>250</v>
      </c>
      <c r="I459" s="24">
        <v>0.12</v>
      </c>
      <c r="J459" s="28">
        <f>Table2[[#This Row],[Quantity]]*Table2[[#This Row],[Unit_Price]]</f>
        <v>2250</v>
      </c>
      <c r="K459" s="31">
        <f t="shared" si="7"/>
        <v>1980</v>
      </c>
      <c r="L459" s="31">
        <f>Table2[[#This Row],[gross sales]]-Table2[[#This Row],[net sale]]</f>
        <v>270</v>
      </c>
      <c r="M459" s="37" t="str">
        <f>TEXT(B459,"mmm")</f>
        <v>Feb</v>
      </c>
    </row>
    <row r="460" spans="1:13">
      <c r="A460" s="16">
        <v>1459</v>
      </c>
      <c r="B460" s="15">
        <v>45819</v>
      </c>
      <c r="C460" s="16" t="s">
        <v>16</v>
      </c>
      <c r="D460" s="16" t="s">
        <v>10</v>
      </c>
      <c r="E460" s="16" t="s">
        <v>17</v>
      </c>
      <c r="F460" s="16" t="s">
        <v>15</v>
      </c>
      <c r="G460" s="16">
        <v>7</v>
      </c>
      <c r="H460" s="17">
        <v>55000</v>
      </c>
      <c r="I460" s="23">
        <v>0.12</v>
      </c>
      <c r="J460" s="28">
        <f>Table2[[#This Row],[Quantity]]*Table2[[#This Row],[Unit_Price]]</f>
        <v>385000</v>
      </c>
      <c r="K460" s="31">
        <f t="shared" si="7"/>
        <v>338800</v>
      </c>
      <c r="L460" s="31">
        <f>Table2[[#This Row],[gross sales]]-Table2[[#This Row],[net sale]]</f>
        <v>46200</v>
      </c>
      <c r="M460" s="36" t="str">
        <f>TEXT(B460,"mmm")</f>
        <v>Jun</v>
      </c>
    </row>
    <row r="461" spans="1:13">
      <c r="A461" s="19">
        <v>1460</v>
      </c>
      <c r="B461" s="18">
        <v>45697</v>
      </c>
      <c r="C461" s="19" t="s">
        <v>21</v>
      </c>
      <c r="D461" s="19" t="s">
        <v>10</v>
      </c>
      <c r="E461" s="19" t="s">
        <v>17</v>
      </c>
      <c r="F461" s="19" t="s">
        <v>15</v>
      </c>
      <c r="G461" s="19">
        <v>6</v>
      </c>
      <c r="H461" s="20">
        <v>14000</v>
      </c>
      <c r="I461" s="24">
        <v>0.12</v>
      </c>
      <c r="J461" s="28">
        <f>Table2[[#This Row],[Quantity]]*Table2[[#This Row],[Unit_Price]]</f>
        <v>84000</v>
      </c>
      <c r="K461" s="31">
        <f t="shared" si="7"/>
        <v>73920</v>
      </c>
      <c r="L461" s="31">
        <f>Table2[[#This Row],[gross sales]]-Table2[[#This Row],[net sale]]</f>
        <v>10080</v>
      </c>
      <c r="M461" s="37" t="str">
        <f>TEXT(B461,"mmm")</f>
        <v>Feb</v>
      </c>
    </row>
    <row r="462" spans="1:13">
      <c r="A462" s="16">
        <v>1461</v>
      </c>
      <c r="B462" s="15">
        <v>46004</v>
      </c>
      <c r="C462" s="16" t="s">
        <v>37</v>
      </c>
      <c r="D462" s="16" t="s">
        <v>36</v>
      </c>
      <c r="E462" s="16" t="s">
        <v>22</v>
      </c>
      <c r="F462" s="16" t="s">
        <v>32</v>
      </c>
      <c r="G462" s="16">
        <v>18</v>
      </c>
      <c r="H462" s="17">
        <v>1800</v>
      </c>
      <c r="I462" s="23">
        <v>0.08</v>
      </c>
      <c r="J462" s="28">
        <f>Table2[[#This Row],[Quantity]]*Table2[[#This Row],[Unit_Price]]</f>
        <v>32400</v>
      </c>
      <c r="K462" s="31">
        <f t="shared" si="7"/>
        <v>29808</v>
      </c>
      <c r="L462" s="31">
        <f>Table2[[#This Row],[gross sales]]-Table2[[#This Row],[net sale]]</f>
        <v>2592</v>
      </c>
      <c r="M462" s="36" t="str">
        <f>TEXT(B462,"mmm")</f>
        <v>Dec</v>
      </c>
    </row>
    <row r="463" spans="1:13">
      <c r="A463" s="19">
        <v>1462</v>
      </c>
      <c r="B463" s="18">
        <v>46010</v>
      </c>
      <c r="C463" s="19" t="s">
        <v>39</v>
      </c>
      <c r="D463" s="19" t="s">
        <v>30</v>
      </c>
      <c r="E463" s="19" t="s">
        <v>11</v>
      </c>
      <c r="F463" s="19" t="s">
        <v>18</v>
      </c>
      <c r="G463" s="19">
        <v>3</v>
      </c>
      <c r="H463" s="19">
        <v>180</v>
      </c>
      <c r="I463" s="24">
        <v>0.12</v>
      </c>
      <c r="J463" s="28">
        <f>Table2[[#This Row],[Quantity]]*Table2[[#This Row],[Unit_Price]]</f>
        <v>540</v>
      </c>
      <c r="K463" s="31">
        <f t="shared" si="7"/>
        <v>475.2</v>
      </c>
      <c r="L463" s="31">
        <f>Table2[[#This Row],[gross sales]]-Table2[[#This Row],[net sale]]</f>
        <v>64.800000000000011</v>
      </c>
      <c r="M463" s="37" t="str">
        <f>TEXT(B463,"mmm")</f>
        <v>Dec</v>
      </c>
    </row>
    <row r="464" spans="1:13">
      <c r="A464" s="16">
        <v>1463</v>
      </c>
      <c r="B464" s="15">
        <v>45708</v>
      </c>
      <c r="C464" s="16" t="s">
        <v>31</v>
      </c>
      <c r="D464" s="16" t="s">
        <v>26</v>
      </c>
      <c r="E464" s="16" t="s">
        <v>11</v>
      </c>
      <c r="F464" s="16" t="s">
        <v>15</v>
      </c>
      <c r="G464" s="16">
        <v>8</v>
      </c>
      <c r="H464" s="17">
        <v>8500</v>
      </c>
      <c r="I464" s="23">
        <v>0</v>
      </c>
      <c r="J464" s="28">
        <f>Table2[[#This Row],[Quantity]]*Table2[[#This Row],[Unit_Price]]</f>
        <v>68000</v>
      </c>
      <c r="K464" s="31">
        <f t="shared" si="7"/>
        <v>68000</v>
      </c>
      <c r="L464" s="31">
        <f>Table2[[#This Row],[gross sales]]-Table2[[#This Row],[net sale]]</f>
        <v>0</v>
      </c>
      <c r="M464" s="36" t="str">
        <f>TEXT(B464,"mmm")</f>
        <v>Feb</v>
      </c>
    </row>
    <row r="465" spans="1:13">
      <c r="A465" s="19">
        <v>1464</v>
      </c>
      <c r="B465" s="18">
        <v>45825</v>
      </c>
      <c r="C465" s="19" t="s">
        <v>16</v>
      </c>
      <c r="D465" s="19" t="s">
        <v>10</v>
      </c>
      <c r="E465" s="19" t="s">
        <v>22</v>
      </c>
      <c r="F465" s="19" t="s">
        <v>12</v>
      </c>
      <c r="G465" s="19">
        <v>9</v>
      </c>
      <c r="H465" s="20">
        <v>55000</v>
      </c>
      <c r="I465" s="24">
        <v>0.1</v>
      </c>
      <c r="J465" s="28">
        <f>Table2[[#This Row],[Quantity]]*Table2[[#This Row],[Unit_Price]]</f>
        <v>495000</v>
      </c>
      <c r="K465" s="31">
        <f t="shared" si="7"/>
        <v>445500</v>
      </c>
      <c r="L465" s="31">
        <f>Table2[[#This Row],[gross sales]]-Table2[[#This Row],[net sale]]</f>
        <v>49500</v>
      </c>
      <c r="M465" s="37" t="str">
        <f>TEXT(B465,"mmm")</f>
        <v>Jun</v>
      </c>
    </row>
    <row r="466" spans="1:13">
      <c r="A466" s="16">
        <v>1465</v>
      </c>
      <c r="B466" s="15">
        <v>45840</v>
      </c>
      <c r="C466" s="16" t="s">
        <v>25</v>
      </c>
      <c r="D466" s="16" t="s">
        <v>26</v>
      </c>
      <c r="E466" s="16" t="s">
        <v>17</v>
      </c>
      <c r="F466" s="16" t="s">
        <v>15</v>
      </c>
      <c r="G466" s="16">
        <v>13</v>
      </c>
      <c r="H466" s="17">
        <v>11000</v>
      </c>
      <c r="I466" s="23">
        <v>0.1</v>
      </c>
      <c r="J466" s="28">
        <f>Table2[[#This Row],[Quantity]]*Table2[[#This Row],[Unit_Price]]</f>
        <v>143000</v>
      </c>
      <c r="K466" s="31">
        <f t="shared" si="7"/>
        <v>128700</v>
      </c>
      <c r="L466" s="31">
        <f>Table2[[#This Row],[gross sales]]-Table2[[#This Row],[net sale]]</f>
        <v>14300</v>
      </c>
      <c r="M466" s="36" t="str">
        <f>TEXT(B466,"mmm")</f>
        <v>Jul</v>
      </c>
    </row>
    <row r="467" spans="1:13">
      <c r="A467" s="19">
        <v>1466</v>
      </c>
      <c r="B467" s="18">
        <v>45701</v>
      </c>
      <c r="C467" s="19" t="s">
        <v>35</v>
      </c>
      <c r="D467" s="19" t="s">
        <v>36</v>
      </c>
      <c r="E467" s="19" t="s">
        <v>17</v>
      </c>
      <c r="F467" s="19" t="s">
        <v>24</v>
      </c>
      <c r="G467" s="19">
        <v>20</v>
      </c>
      <c r="H467" s="20">
        <v>3500</v>
      </c>
      <c r="I467" s="24">
        <v>0.08</v>
      </c>
      <c r="J467" s="28">
        <f>Table2[[#This Row],[Quantity]]*Table2[[#This Row],[Unit_Price]]</f>
        <v>70000</v>
      </c>
      <c r="K467" s="31">
        <f t="shared" si="7"/>
        <v>64400</v>
      </c>
      <c r="L467" s="31">
        <f>Table2[[#This Row],[gross sales]]-Table2[[#This Row],[net sale]]</f>
        <v>5600</v>
      </c>
      <c r="M467" s="37" t="str">
        <f>TEXT(B467,"mmm")</f>
        <v>Feb</v>
      </c>
    </row>
    <row r="468" spans="1:13">
      <c r="A468" s="16">
        <v>1467</v>
      </c>
      <c r="B468" s="15">
        <v>45700</v>
      </c>
      <c r="C468" s="16" t="s">
        <v>21</v>
      </c>
      <c r="D468" s="16" t="s">
        <v>10</v>
      </c>
      <c r="E468" s="16" t="s">
        <v>17</v>
      </c>
      <c r="F468" s="16" t="s">
        <v>15</v>
      </c>
      <c r="G468" s="16">
        <v>5</v>
      </c>
      <c r="H468" s="17">
        <v>14000</v>
      </c>
      <c r="I468" s="23">
        <v>0.1</v>
      </c>
      <c r="J468" s="28">
        <f>Table2[[#This Row],[Quantity]]*Table2[[#This Row],[Unit_Price]]</f>
        <v>70000</v>
      </c>
      <c r="K468" s="31">
        <f t="shared" si="7"/>
        <v>63000</v>
      </c>
      <c r="L468" s="31">
        <f>Table2[[#This Row],[gross sales]]-Table2[[#This Row],[net sale]]</f>
        <v>7000</v>
      </c>
      <c r="M468" s="36" t="str">
        <f>TEXT(B468,"mmm")</f>
        <v>Feb</v>
      </c>
    </row>
    <row r="469" spans="1:13">
      <c r="A469" s="19">
        <v>1468</v>
      </c>
      <c r="B469" s="18">
        <v>45820</v>
      </c>
      <c r="C469" s="19" t="s">
        <v>33</v>
      </c>
      <c r="D469" s="19" t="s">
        <v>10</v>
      </c>
      <c r="E469" s="19" t="s">
        <v>14</v>
      </c>
      <c r="F469" s="19" t="s">
        <v>27</v>
      </c>
      <c r="G469" s="19">
        <v>4</v>
      </c>
      <c r="H469" s="20">
        <v>2500</v>
      </c>
      <c r="I469" s="24">
        <v>0</v>
      </c>
      <c r="J469" s="28">
        <f>Table2[[#This Row],[Quantity]]*Table2[[#This Row],[Unit_Price]]</f>
        <v>10000</v>
      </c>
      <c r="K469" s="31">
        <f t="shared" si="7"/>
        <v>10000</v>
      </c>
      <c r="L469" s="31">
        <f>Table2[[#This Row],[gross sales]]-Table2[[#This Row],[net sale]]</f>
        <v>0</v>
      </c>
      <c r="M469" s="37" t="str">
        <f>TEXT(B469,"mmm")</f>
        <v>Jun</v>
      </c>
    </row>
    <row r="470" spans="1:13">
      <c r="A470" s="16">
        <v>1469</v>
      </c>
      <c r="B470" s="15">
        <v>45885</v>
      </c>
      <c r="C470" s="16" t="s">
        <v>33</v>
      </c>
      <c r="D470" s="16" t="s">
        <v>10</v>
      </c>
      <c r="E470" s="16" t="s">
        <v>17</v>
      </c>
      <c r="F470" s="16" t="s">
        <v>24</v>
      </c>
      <c r="G470" s="16">
        <v>9</v>
      </c>
      <c r="H470" s="17">
        <v>2500</v>
      </c>
      <c r="I470" s="23">
        <v>0</v>
      </c>
      <c r="J470" s="28">
        <f>Table2[[#This Row],[Quantity]]*Table2[[#This Row],[Unit_Price]]</f>
        <v>22500</v>
      </c>
      <c r="K470" s="31">
        <f t="shared" si="7"/>
        <v>22500</v>
      </c>
      <c r="L470" s="31">
        <f>Table2[[#This Row],[gross sales]]-Table2[[#This Row],[net sale]]</f>
        <v>0</v>
      </c>
      <c r="M470" s="36" t="str">
        <f>TEXT(B470,"mmm")</f>
        <v>Aug</v>
      </c>
    </row>
    <row r="471" spans="1:13">
      <c r="A471" s="19">
        <v>1470</v>
      </c>
      <c r="B471" s="18">
        <v>45753</v>
      </c>
      <c r="C471" s="19" t="s">
        <v>31</v>
      </c>
      <c r="D471" s="19" t="s">
        <v>26</v>
      </c>
      <c r="E471" s="19" t="s">
        <v>22</v>
      </c>
      <c r="F471" s="19" t="s">
        <v>24</v>
      </c>
      <c r="G471" s="19">
        <v>15</v>
      </c>
      <c r="H471" s="20">
        <v>8500</v>
      </c>
      <c r="I471" s="24">
        <v>0.12</v>
      </c>
      <c r="J471" s="28">
        <f>Table2[[#This Row],[Quantity]]*Table2[[#This Row],[Unit_Price]]</f>
        <v>127500</v>
      </c>
      <c r="K471" s="31">
        <f t="shared" si="7"/>
        <v>112200</v>
      </c>
      <c r="L471" s="31">
        <f>Table2[[#This Row],[gross sales]]-Table2[[#This Row],[net sale]]</f>
        <v>15300</v>
      </c>
      <c r="M471" s="37" t="str">
        <f>TEXT(B471,"mmm")</f>
        <v>Apr</v>
      </c>
    </row>
    <row r="472" spans="1:13">
      <c r="A472" s="16">
        <v>1471</v>
      </c>
      <c r="B472" s="15">
        <v>45671</v>
      </c>
      <c r="C472" s="16" t="s">
        <v>9</v>
      </c>
      <c r="D472" s="16" t="s">
        <v>10</v>
      </c>
      <c r="E472" s="16" t="s">
        <v>14</v>
      </c>
      <c r="F472" s="16" t="s">
        <v>23</v>
      </c>
      <c r="G472" s="16">
        <v>12</v>
      </c>
      <c r="H472" s="17">
        <v>18000</v>
      </c>
      <c r="I472" s="23">
        <v>0.12</v>
      </c>
      <c r="J472" s="28">
        <f>Table2[[#This Row],[Quantity]]*Table2[[#This Row],[Unit_Price]]</f>
        <v>216000</v>
      </c>
      <c r="K472" s="31">
        <f t="shared" si="7"/>
        <v>190080</v>
      </c>
      <c r="L472" s="31">
        <f>Table2[[#This Row],[gross sales]]-Table2[[#This Row],[net sale]]</f>
        <v>25920</v>
      </c>
      <c r="M472" s="36" t="str">
        <f>TEXT(B472,"mmm")</f>
        <v>Jan</v>
      </c>
    </row>
    <row r="473" spans="1:13">
      <c r="A473" s="19">
        <v>1472</v>
      </c>
      <c r="B473" s="18">
        <v>45855</v>
      </c>
      <c r="C473" s="19" t="s">
        <v>16</v>
      </c>
      <c r="D473" s="19" t="s">
        <v>10</v>
      </c>
      <c r="E473" s="19" t="s">
        <v>22</v>
      </c>
      <c r="F473" s="19" t="s">
        <v>24</v>
      </c>
      <c r="G473" s="19">
        <v>10</v>
      </c>
      <c r="H473" s="20">
        <v>55000</v>
      </c>
      <c r="I473" s="24">
        <v>0.1</v>
      </c>
      <c r="J473" s="28">
        <f>Table2[[#This Row],[Quantity]]*Table2[[#This Row],[Unit_Price]]</f>
        <v>550000</v>
      </c>
      <c r="K473" s="31">
        <f t="shared" si="7"/>
        <v>495000</v>
      </c>
      <c r="L473" s="31">
        <f>Table2[[#This Row],[gross sales]]-Table2[[#This Row],[net sale]]</f>
        <v>55000</v>
      </c>
      <c r="M473" s="37" t="str">
        <f>TEXT(B473,"mmm")</f>
        <v>Jul</v>
      </c>
    </row>
    <row r="474" spans="1:13">
      <c r="A474" s="16">
        <v>1473</v>
      </c>
      <c r="B474" s="15">
        <v>45944</v>
      </c>
      <c r="C474" s="16" t="s">
        <v>37</v>
      </c>
      <c r="D474" s="16" t="s">
        <v>36</v>
      </c>
      <c r="E474" s="16" t="s">
        <v>17</v>
      </c>
      <c r="F474" s="16" t="s">
        <v>15</v>
      </c>
      <c r="G474" s="16">
        <v>8</v>
      </c>
      <c r="H474" s="17">
        <v>1800</v>
      </c>
      <c r="I474" s="23">
        <v>0.12</v>
      </c>
      <c r="J474" s="28">
        <f>Table2[[#This Row],[Quantity]]*Table2[[#This Row],[Unit_Price]]</f>
        <v>14400</v>
      </c>
      <c r="K474" s="31">
        <f t="shared" si="7"/>
        <v>12672</v>
      </c>
      <c r="L474" s="31">
        <f>Table2[[#This Row],[gross sales]]-Table2[[#This Row],[net sale]]</f>
        <v>1728</v>
      </c>
      <c r="M474" s="36" t="str">
        <f>TEXT(B474,"mmm")</f>
        <v>Oct</v>
      </c>
    </row>
    <row r="475" spans="1:13">
      <c r="A475" s="19">
        <v>1474</v>
      </c>
      <c r="B475" s="18">
        <v>45744</v>
      </c>
      <c r="C475" s="19" t="s">
        <v>13</v>
      </c>
      <c r="D475" s="19" t="s">
        <v>10</v>
      </c>
      <c r="E475" s="19" t="s">
        <v>11</v>
      </c>
      <c r="F475" s="19" t="s">
        <v>20</v>
      </c>
      <c r="G475" s="19">
        <v>9</v>
      </c>
      <c r="H475" s="20">
        <v>1200</v>
      </c>
      <c r="I475" s="24">
        <v>0.08</v>
      </c>
      <c r="J475" s="28">
        <f>Table2[[#This Row],[Quantity]]*Table2[[#This Row],[Unit_Price]]</f>
        <v>10800</v>
      </c>
      <c r="K475" s="31">
        <f t="shared" si="7"/>
        <v>9936</v>
      </c>
      <c r="L475" s="31">
        <f>Table2[[#This Row],[gross sales]]-Table2[[#This Row],[net sale]]</f>
        <v>864</v>
      </c>
      <c r="M475" s="37" t="str">
        <f>TEXT(B475,"mmm")</f>
        <v>Mar</v>
      </c>
    </row>
    <row r="476" spans="1:13">
      <c r="A476" s="16">
        <v>1475</v>
      </c>
      <c r="B476" s="15">
        <v>45732</v>
      </c>
      <c r="C476" s="16" t="s">
        <v>9</v>
      </c>
      <c r="D476" s="16" t="s">
        <v>10</v>
      </c>
      <c r="E476" s="16" t="s">
        <v>11</v>
      </c>
      <c r="F476" s="16" t="s">
        <v>15</v>
      </c>
      <c r="G476" s="16">
        <v>6</v>
      </c>
      <c r="H476" s="17">
        <v>18000</v>
      </c>
      <c r="I476" s="23">
        <v>0.1</v>
      </c>
      <c r="J476" s="28">
        <f>Table2[[#This Row],[Quantity]]*Table2[[#This Row],[Unit_Price]]</f>
        <v>108000</v>
      </c>
      <c r="K476" s="31">
        <f t="shared" si="7"/>
        <v>97200</v>
      </c>
      <c r="L476" s="31">
        <f>Table2[[#This Row],[gross sales]]-Table2[[#This Row],[net sale]]</f>
        <v>10800</v>
      </c>
      <c r="M476" s="36" t="str">
        <f>TEXT(B476,"mmm")</f>
        <v>Mar</v>
      </c>
    </row>
    <row r="477" spans="1:13">
      <c r="A477" s="19">
        <v>1476</v>
      </c>
      <c r="B477" s="18">
        <v>45811</v>
      </c>
      <c r="C477" s="19" t="s">
        <v>34</v>
      </c>
      <c r="D477" s="19" t="s">
        <v>26</v>
      </c>
      <c r="E477" s="19" t="s">
        <v>11</v>
      </c>
      <c r="F477" s="19" t="s">
        <v>12</v>
      </c>
      <c r="G477" s="19">
        <v>3</v>
      </c>
      <c r="H477" s="20">
        <v>15000</v>
      </c>
      <c r="I477" s="24">
        <v>0.08</v>
      </c>
      <c r="J477" s="28">
        <f>Table2[[#This Row],[Quantity]]*Table2[[#This Row],[Unit_Price]]</f>
        <v>45000</v>
      </c>
      <c r="K477" s="31">
        <f t="shared" si="7"/>
        <v>41400</v>
      </c>
      <c r="L477" s="31">
        <f>Table2[[#This Row],[gross sales]]-Table2[[#This Row],[net sale]]</f>
        <v>3600</v>
      </c>
      <c r="M477" s="37" t="str">
        <f>TEXT(B477,"mmm")</f>
        <v>Jun</v>
      </c>
    </row>
    <row r="478" spans="1:13">
      <c r="A478" s="16">
        <v>1477</v>
      </c>
      <c r="B478" s="15">
        <v>45978</v>
      </c>
      <c r="C478" s="16" t="s">
        <v>34</v>
      </c>
      <c r="D478" s="16" t="s">
        <v>26</v>
      </c>
      <c r="E478" s="16" t="s">
        <v>17</v>
      </c>
      <c r="F478" s="16" t="s">
        <v>20</v>
      </c>
      <c r="G478" s="16">
        <v>20</v>
      </c>
      <c r="H478" s="17">
        <v>15000</v>
      </c>
      <c r="I478" s="23">
        <v>0.12</v>
      </c>
      <c r="J478" s="28">
        <f>Table2[[#This Row],[Quantity]]*Table2[[#This Row],[Unit_Price]]</f>
        <v>300000</v>
      </c>
      <c r="K478" s="31">
        <f t="shared" si="7"/>
        <v>264000</v>
      </c>
      <c r="L478" s="31">
        <f>Table2[[#This Row],[gross sales]]-Table2[[#This Row],[net sale]]</f>
        <v>36000</v>
      </c>
      <c r="M478" s="36" t="str">
        <f>TEXT(B478,"mmm")</f>
        <v>Nov</v>
      </c>
    </row>
    <row r="479" spans="1:13">
      <c r="A479" s="19">
        <v>1478</v>
      </c>
      <c r="B479" s="18">
        <v>45712</v>
      </c>
      <c r="C479" s="19" t="s">
        <v>13</v>
      </c>
      <c r="D479" s="19" t="s">
        <v>10</v>
      </c>
      <c r="E479" s="19" t="s">
        <v>22</v>
      </c>
      <c r="F479" s="19" t="s">
        <v>23</v>
      </c>
      <c r="G479" s="19">
        <v>10</v>
      </c>
      <c r="H479" s="20">
        <v>1200</v>
      </c>
      <c r="I479" s="24">
        <v>0</v>
      </c>
      <c r="J479" s="28">
        <f>Table2[[#This Row],[Quantity]]*Table2[[#This Row],[Unit_Price]]</f>
        <v>12000</v>
      </c>
      <c r="K479" s="31">
        <f t="shared" si="7"/>
        <v>12000</v>
      </c>
      <c r="L479" s="31">
        <f>Table2[[#This Row],[gross sales]]-Table2[[#This Row],[net sale]]</f>
        <v>0</v>
      </c>
      <c r="M479" s="37" t="str">
        <f>TEXT(B479,"mmm")</f>
        <v>Feb</v>
      </c>
    </row>
    <row r="480" spans="1:13">
      <c r="A480" s="16">
        <v>1479</v>
      </c>
      <c r="B480" s="15">
        <v>45975</v>
      </c>
      <c r="C480" s="16" t="s">
        <v>31</v>
      </c>
      <c r="D480" s="16" t="s">
        <v>26</v>
      </c>
      <c r="E480" s="16" t="s">
        <v>11</v>
      </c>
      <c r="F480" s="16" t="s">
        <v>15</v>
      </c>
      <c r="G480" s="16">
        <v>11</v>
      </c>
      <c r="H480" s="17">
        <v>8500</v>
      </c>
      <c r="I480" s="23">
        <v>0.1</v>
      </c>
      <c r="J480" s="28">
        <f>Table2[[#This Row],[Quantity]]*Table2[[#This Row],[Unit_Price]]</f>
        <v>93500</v>
      </c>
      <c r="K480" s="31">
        <f t="shared" si="7"/>
        <v>84150</v>
      </c>
      <c r="L480" s="31">
        <f>Table2[[#This Row],[gross sales]]-Table2[[#This Row],[net sale]]</f>
        <v>9350</v>
      </c>
      <c r="M480" s="36" t="str">
        <f>TEXT(B480,"mmm")</f>
        <v>Nov</v>
      </c>
    </row>
    <row r="481" spans="1:13">
      <c r="A481" s="19">
        <v>1480</v>
      </c>
      <c r="B481" s="18">
        <v>45991</v>
      </c>
      <c r="C481" s="19" t="s">
        <v>28</v>
      </c>
      <c r="D481" s="19" t="s">
        <v>26</v>
      </c>
      <c r="E481" s="19" t="s">
        <v>11</v>
      </c>
      <c r="F481" s="19" t="s">
        <v>12</v>
      </c>
      <c r="G481" s="19">
        <v>5</v>
      </c>
      <c r="H481" s="20">
        <v>9000</v>
      </c>
      <c r="I481" s="24">
        <v>0.08</v>
      </c>
      <c r="J481" s="28">
        <f>Table2[[#This Row],[Quantity]]*Table2[[#This Row],[Unit_Price]]</f>
        <v>45000</v>
      </c>
      <c r="K481" s="31">
        <f t="shared" si="7"/>
        <v>41400</v>
      </c>
      <c r="L481" s="31">
        <f>Table2[[#This Row],[gross sales]]-Table2[[#This Row],[net sale]]</f>
        <v>3600</v>
      </c>
      <c r="M481" s="37" t="str">
        <f>TEXT(B481,"mmm")</f>
        <v>Nov</v>
      </c>
    </row>
    <row r="482" spans="1:13">
      <c r="A482" s="16">
        <v>1481</v>
      </c>
      <c r="B482" s="15">
        <v>45903</v>
      </c>
      <c r="C482" s="16" t="s">
        <v>33</v>
      </c>
      <c r="D482" s="16" t="s">
        <v>10</v>
      </c>
      <c r="E482" s="16" t="s">
        <v>11</v>
      </c>
      <c r="F482" s="16" t="s">
        <v>27</v>
      </c>
      <c r="G482" s="16">
        <v>6</v>
      </c>
      <c r="H482" s="17">
        <v>2500</v>
      </c>
      <c r="I482" s="23">
        <v>0.1</v>
      </c>
      <c r="J482" s="28">
        <f>Table2[[#This Row],[Quantity]]*Table2[[#This Row],[Unit_Price]]</f>
        <v>15000</v>
      </c>
      <c r="K482" s="31">
        <f t="shared" si="7"/>
        <v>13500</v>
      </c>
      <c r="L482" s="31">
        <f>Table2[[#This Row],[gross sales]]-Table2[[#This Row],[net sale]]</f>
        <v>1500</v>
      </c>
      <c r="M482" s="36" t="str">
        <f>TEXT(B482,"mmm")</f>
        <v>Sep</v>
      </c>
    </row>
    <row r="483" spans="1:13">
      <c r="A483" s="19">
        <v>1482</v>
      </c>
      <c r="B483" s="18">
        <v>46013</v>
      </c>
      <c r="C483" s="19" t="s">
        <v>29</v>
      </c>
      <c r="D483" s="19" t="s">
        <v>30</v>
      </c>
      <c r="E483" s="19" t="s">
        <v>17</v>
      </c>
      <c r="F483" s="19" t="s">
        <v>23</v>
      </c>
      <c r="G483" s="19">
        <v>16</v>
      </c>
      <c r="H483" s="19">
        <v>250</v>
      </c>
      <c r="I483" s="24">
        <v>0.12</v>
      </c>
      <c r="J483" s="28">
        <f>Table2[[#This Row],[Quantity]]*Table2[[#This Row],[Unit_Price]]</f>
        <v>4000</v>
      </c>
      <c r="K483" s="31">
        <f t="shared" si="7"/>
        <v>3520</v>
      </c>
      <c r="L483" s="31">
        <f>Table2[[#This Row],[gross sales]]-Table2[[#This Row],[net sale]]</f>
        <v>480</v>
      </c>
      <c r="M483" s="37" t="str">
        <f>TEXT(B483,"mmm")</f>
        <v>Dec</v>
      </c>
    </row>
    <row r="484" spans="1:13">
      <c r="A484" s="16">
        <v>1483</v>
      </c>
      <c r="B484" s="15">
        <v>45850</v>
      </c>
      <c r="C484" s="16" t="s">
        <v>21</v>
      </c>
      <c r="D484" s="16" t="s">
        <v>10</v>
      </c>
      <c r="E484" s="16" t="s">
        <v>14</v>
      </c>
      <c r="F484" s="16" t="s">
        <v>12</v>
      </c>
      <c r="G484" s="16">
        <v>13</v>
      </c>
      <c r="H484" s="17">
        <v>14000</v>
      </c>
      <c r="I484" s="23">
        <v>0.08</v>
      </c>
      <c r="J484" s="28">
        <f>Table2[[#This Row],[Quantity]]*Table2[[#This Row],[Unit_Price]]</f>
        <v>182000</v>
      </c>
      <c r="K484" s="31">
        <f t="shared" si="7"/>
        <v>167440</v>
      </c>
      <c r="L484" s="31">
        <f>Table2[[#This Row],[gross sales]]-Table2[[#This Row],[net sale]]</f>
        <v>14560</v>
      </c>
      <c r="M484" s="36" t="str">
        <f>TEXT(B484,"mmm")</f>
        <v>Jul</v>
      </c>
    </row>
    <row r="485" spans="1:13">
      <c r="A485" s="19">
        <v>1484</v>
      </c>
      <c r="B485" s="18">
        <v>45961</v>
      </c>
      <c r="C485" s="19" t="s">
        <v>25</v>
      </c>
      <c r="D485" s="19" t="s">
        <v>26</v>
      </c>
      <c r="E485" s="19" t="s">
        <v>14</v>
      </c>
      <c r="F485" s="19" t="s">
        <v>20</v>
      </c>
      <c r="G485" s="19">
        <v>6</v>
      </c>
      <c r="H485" s="20">
        <v>11000</v>
      </c>
      <c r="I485" s="24">
        <v>0.15</v>
      </c>
      <c r="J485" s="28">
        <f>Table2[[#This Row],[Quantity]]*Table2[[#This Row],[Unit_Price]]</f>
        <v>66000</v>
      </c>
      <c r="K485" s="31">
        <f t="shared" si="7"/>
        <v>56100</v>
      </c>
      <c r="L485" s="31">
        <f>Table2[[#This Row],[gross sales]]-Table2[[#This Row],[net sale]]</f>
        <v>9900</v>
      </c>
      <c r="M485" s="37" t="str">
        <f>TEXT(B485,"mmm")</f>
        <v>Oct</v>
      </c>
    </row>
    <row r="486" spans="1:13">
      <c r="A486" s="16">
        <v>1485</v>
      </c>
      <c r="B486" s="15">
        <v>46020</v>
      </c>
      <c r="C486" s="16" t="s">
        <v>19</v>
      </c>
      <c r="D486" s="16" t="s">
        <v>10</v>
      </c>
      <c r="E486" s="16" t="s">
        <v>14</v>
      </c>
      <c r="F486" s="16" t="s">
        <v>15</v>
      </c>
      <c r="G486" s="16">
        <v>15</v>
      </c>
      <c r="H486" s="16">
        <v>800</v>
      </c>
      <c r="I486" s="23">
        <v>0.08</v>
      </c>
      <c r="J486" s="28">
        <f>Table2[[#This Row],[Quantity]]*Table2[[#This Row],[Unit_Price]]</f>
        <v>12000</v>
      </c>
      <c r="K486" s="31">
        <f t="shared" si="7"/>
        <v>11040</v>
      </c>
      <c r="L486" s="31">
        <f>Table2[[#This Row],[gross sales]]-Table2[[#This Row],[net sale]]</f>
        <v>960</v>
      </c>
      <c r="M486" s="36" t="str">
        <f>TEXT(B486,"mmm")</f>
        <v>Dec</v>
      </c>
    </row>
    <row r="487" spans="1:13">
      <c r="A487" s="19">
        <v>1486</v>
      </c>
      <c r="B487" s="18">
        <v>46002</v>
      </c>
      <c r="C487" s="19" t="s">
        <v>34</v>
      </c>
      <c r="D487" s="19" t="s">
        <v>26</v>
      </c>
      <c r="E487" s="19" t="s">
        <v>11</v>
      </c>
      <c r="F487" s="19" t="s">
        <v>12</v>
      </c>
      <c r="G487" s="19">
        <v>5</v>
      </c>
      <c r="H487" s="20">
        <v>15000</v>
      </c>
      <c r="I487" s="24">
        <v>0.15</v>
      </c>
      <c r="J487" s="28">
        <f>Table2[[#This Row],[Quantity]]*Table2[[#This Row],[Unit_Price]]</f>
        <v>75000</v>
      </c>
      <c r="K487" s="31">
        <f t="shared" si="7"/>
        <v>63750</v>
      </c>
      <c r="L487" s="31">
        <f>Table2[[#This Row],[gross sales]]-Table2[[#This Row],[net sale]]</f>
        <v>11250</v>
      </c>
      <c r="M487" s="37" t="str">
        <f>TEXT(B487,"mmm")</f>
        <v>Dec</v>
      </c>
    </row>
    <row r="488" spans="1:13">
      <c r="A488" s="16">
        <v>1487</v>
      </c>
      <c r="B488" s="15">
        <v>45787</v>
      </c>
      <c r="C488" s="16" t="s">
        <v>29</v>
      </c>
      <c r="D488" s="16" t="s">
        <v>30</v>
      </c>
      <c r="E488" s="16" t="s">
        <v>22</v>
      </c>
      <c r="F488" s="16" t="s">
        <v>15</v>
      </c>
      <c r="G488" s="16">
        <v>5</v>
      </c>
      <c r="H488" s="16">
        <v>250</v>
      </c>
      <c r="I488" s="23">
        <v>0.15</v>
      </c>
      <c r="J488" s="28">
        <f>Table2[[#This Row],[Quantity]]*Table2[[#This Row],[Unit_Price]]</f>
        <v>1250</v>
      </c>
      <c r="K488" s="31">
        <f t="shared" si="7"/>
        <v>1062.5</v>
      </c>
      <c r="L488" s="31">
        <f>Table2[[#This Row],[gross sales]]-Table2[[#This Row],[net sale]]</f>
        <v>187.5</v>
      </c>
      <c r="M488" s="36" t="str">
        <f>TEXT(B488,"mmm")</f>
        <v>May</v>
      </c>
    </row>
    <row r="489" spans="1:13">
      <c r="A489" s="19">
        <v>1488</v>
      </c>
      <c r="B489" s="18">
        <v>45695</v>
      </c>
      <c r="C489" s="19" t="s">
        <v>34</v>
      </c>
      <c r="D489" s="19" t="s">
        <v>26</v>
      </c>
      <c r="E489" s="19" t="s">
        <v>22</v>
      </c>
      <c r="F489" s="19" t="s">
        <v>15</v>
      </c>
      <c r="G489" s="19">
        <v>20</v>
      </c>
      <c r="H489" s="20">
        <v>15000</v>
      </c>
      <c r="I489" s="24">
        <v>0.1</v>
      </c>
      <c r="J489" s="28">
        <f>Table2[[#This Row],[Quantity]]*Table2[[#This Row],[Unit_Price]]</f>
        <v>300000</v>
      </c>
      <c r="K489" s="31">
        <f t="shared" si="7"/>
        <v>270000</v>
      </c>
      <c r="L489" s="31">
        <f>Table2[[#This Row],[gross sales]]-Table2[[#This Row],[net sale]]</f>
        <v>30000</v>
      </c>
      <c r="M489" s="37" t="str">
        <f>TEXT(B489,"mmm")</f>
        <v>Feb</v>
      </c>
    </row>
    <row r="490" spans="1:13">
      <c r="A490" s="16">
        <v>1489</v>
      </c>
      <c r="B490" s="15">
        <v>45936</v>
      </c>
      <c r="C490" s="16" t="s">
        <v>16</v>
      </c>
      <c r="D490" s="16" t="s">
        <v>10</v>
      </c>
      <c r="E490" s="16" t="s">
        <v>14</v>
      </c>
      <c r="F490" s="16" t="s">
        <v>24</v>
      </c>
      <c r="G490" s="16">
        <v>12</v>
      </c>
      <c r="H490" s="17">
        <v>55000</v>
      </c>
      <c r="I490" s="23">
        <v>0.15</v>
      </c>
      <c r="J490" s="28">
        <f>Table2[[#This Row],[Quantity]]*Table2[[#This Row],[Unit_Price]]</f>
        <v>660000</v>
      </c>
      <c r="K490" s="31">
        <f t="shared" si="7"/>
        <v>561000</v>
      </c>
      <c r="L490" s="31">
        <f>Table2[[#This Row],[gross sales]]-Table2[[#This Row],[net sale]]</f>
        <v>99000</v>
      </c>
      <c r="M490" s="36" t="str">
        <f>TEXT(B490,"mmm")</f>
        <v>Oct</v>
      </c>
    </row>
    <row r="491" spans="1:13">
      <c r="A491" s="19">
        <v>1490</v>
      </c>
      <c r="B491" s="18">
        <v>45785</v>
      </c>
      <c r="C491" s="19" t="s">
        <v>29</v>
      </c>
      <c r="D491" s="19" t="s">
        <v>30</v>
      </c>
      <c r="E491" s="19" t="s">
        <v>14</v>
      </c>
      <c r="F491" s="19" t="s">
        <v>15</v>
      </c>
      <c r="G491" s="19">
        <v>12</v>
      </c>
      <c r="H491" s="19">
        <v>250</v>
      </c>
      <c r="I491" s="24">
        <v>0.05</v>
      </c>
      <c r="J491" s="28">
        <f>Table2[[#This Row],[Quantity]]*Table2[[#This Row],[Unit_Price]]</f>
        <v>3000</v>
      </c>
      <c r="K491" s="31">
        <f t="shared" si="7"/>
        <v>2850</v>
      </c>
      <c r="L491" s="31">
        <f>Table2[[#This Row],[gross sales]]-Table2[[#This Row],[net sale]]</f>
        <v>150</v>
      </c>
      <c r="M491" s="37" t="str">
        <f>TEXT(B491,"mmm")</f>
        <v>May</v>
      </c>
    </row>
    <row r="492" spans="1:13">
      <c r="A492" s="16">
        <v>1491</v>
      </c>
      <c r="B492" s="15">
        <v>45827</v>
      </c>
      <c r="C492" s="16" t="s">
        <v>35</v>
      </c>
      <c r="D492" s="16" t="s">
        <v>36</v>
      </c>
      <c r="E492" s="16" t="s">
        <v>14</v>
      </c>
      <c r="F492" s="16" t="s">
        <v>24</v>
      </c>
      <c r="G492" s="16">
        <v>14</v>
      </c>
      <c r="H492" s="17">
        <v>3500</v>
      </c>
      <c r="I492" s="23">
        <v>0</v>
      </c>
      <c r="J492" s="28">
        <f>Table2[[#This Row],[Quantity]]*Table2[[#This Row],[Unit_Price]]</f>
        <v>49000</v>
      </c>
      <c r="K492" s="31">
        <f t="shared" si="7"/>
        <v>49000</v>
      </c>
      <c r="L492" s="31">
        <f>Table2[[#This Row],[gross sales]]-Table2[[#This Row],[net sale]]</f>
        <v>0</v>
      </c>
      <c r="M492" s="36" t="str">
        <f>TEXT(B492,"mmm")</f>
        <v>Jun</v>
      </c>
    </row>
    <row r="493" spans="1:13">
      <c r="A493" s="19">
        <v>1492</v>
      </c>
      <c r="B493" s="18">
        <v>45790</v>
      </c>
      <c r="C493" s="19" t="s">
        <v>19</v>
      </c>
      <c r="D493" s="19" t="s">
        <v>10</v>
      </c>
      <c r="E493" s="19" t="s">
        <v>17</v>
      </c>
      <c r="F493" s="19" t="s">
        <v>20</v>
      </c>
      <c r="G493" s="19">
        <v>17</v>
      </c>
      <c r="H493" s="19">
        <v>800</v>
      </c>
      <c r="I493" s="24">
        <v>0.15</v>
      </c>
      <c r="J493" s="28">
        <f>Table2[[#This Row],[Quantity]]*Table2[[#This Row],[Unit_Price]]</f>
        <v>13600</v>
      </c>
      <c r="K493" s="31">
        <f t="shared" si="7"/>
        <v>11560</v>
      </c>
      <c r="L493" s="31">
        <f>Table2[[#This Row],[gross sales]]-Table2[[#This Row],[net sale]]</f>
        <v>2040</v>
      </c>
      <c r="M493" s="37" t="str">
        <f>TEXT(B493,"mmm")</f>
        <v>May</v>
      </c>
    </row>
    <row r="494" spans="1:13">
      <c r="A494" s="16">
        <v>1493</v>
      </c>
      <c r="B494" s="15">
        <v>45849</v>
      </c>
      <c r="C494" s="16" t="s">
        <v>31</v>
      </c>
      <c r="D494" s="16" t="s">
        <v>26</v>
      </c>
      <c r="E494" s="16" t="s">
        <v>17</v>
      </c>
      <c r="F494" s="16" t="s">
        <v>23</v>
      </c>
      <c r="G494" s="16">
        <v>15</v>
      </c>
      <c r="H494" s="17">
        <v>8500</v>
      </c>
      <c r="I494" s="23">
        <v>0.15</v>
      </c>
      <c r="J494" s="28">
        <f>Table2[[#This Row],[Quantity]]*Table2[[#This Row],[Unit_Price]]</f>
        <v>127500</v>
      </c>
      <c r="K494" s="31">
        <f t="shared" si="7"/>
        <v>108375</v>
      </c>
      <c r="L494" s="31">
        <f>Table2[[#This Row],[gross sales]]-Table2[[#This Row],[net sale]]</f>
        <v>19125</v>
      </c>
      <c r="M494" s="36" t="str">
        <f>TEXT(B494,"mmm")</f>
        <v>Jul</v>
      </c>
    </row>
    <row r="495" spans="1:13">
      <c r="A495" s="19">
        <v>1494</v>
      </c>
      <c r="B495" s="18">
        <v>45670</v>
      </c>
      <c r="C495" s="19" t="s">
        <v>34</v>
      </c>
      <c r="D495" s="19" t="s">
        <v>26</v>
      </c>
      <c r="E495" s="19" t="s">
        <v>22</v>
      </c>
      <c r="F495" s="19" t="s">
        <v>24</v>
      </c>
      <c r="G495" s="19">
        <v>4</v>
      </c>
      <c r="H495" s="20">
        <v>15000</v>
      </c>
      <c r="I495" s="24">
        <v>0.08</v>
      </c>
      <c r="J495" s="28">
        <f>Table2[[#This Row],[Quantity]]*Table2[[#This Row],[Unit_Price]]</f>
        <v>60000</v>
      </c>
      <c r="K495" s="31">
        <f t="shared" si="7"/>
        <v>55200</v>
      </c>
      <c r="L495" s="31">
        <f>Table2[[#This Row],[gross sales]]-Table2[[#This Row],[net sale]]</f>
        <v>4800</v>
      </c>
      <c r="M495" s="37" t="str">
        <f>TEXT(B495,"mmm")</f>
        <v>Jan</v>
      </c>
    </row>
    <row r="496" spans="1:13">
      <c r="A496" s="16">
        <v>1495</v>
      </c>
      <c r="B496" s="15">
        <v>45717</v>
      </c>
      <c r="C496" s="16" t="s">
        <v>38</v>
      </c>
      <c r="D496" s="16" t="s">
        <v>10</v>
      </c>
      <c r="E496" s="16" t="s">
        <v>11</v>
      </c>
      <c r="F496" s="16" t="s">
        <v>23</v>
      </c>
      <c r="G496" s="16">
        <v>5</v>
      </c>
      <c r="H496" s="17">
        <v>42000</v>
      </c>
      <c r="I496" s="23">
        <v>0.08</v>
      </c>
      <c r="J496" s="28">
        <f>Table2[[#This Row],[Quantity]]*Table2[[#This Row],[Unit_Price]]</f>
        <v>210000</v>
      </c>
      <c r="K496" s="31">
        <f t="shared" si="7"/>
        <v>193200</v>
      </c>
      <c r="L496" s="31">
        <f>Table2[[#This Row],[gross sales]]-Table2[[#This Row],[net sale]]</f>
        <v>16800</v>
      </c>
      <c r="M496" s="36" t="str">
        <f>TEXT(B496,"mmm")</f>
        <v>Mar</v>
      </c>
    </row>
    <row r="497" spans="1:13">
      <c r="A497" s="19">
        <v>1496</v>
      </c>
      <c r="B497" s="18">
        <v>45891</v>
      </c>
      <c r="C497" s="19" t="s">
        <v>35</v>
      </c>
      <c r="D497" s="19" t="s">
        <v>36</v>
      </c>
      <c r="E497" s="19" t="s">
        <v>22</v>
      </c>
      <c r="F497" s="19" t="s">
        <v>23</v>
      </c>
      <c r="G497" s="19">
        <v>7</v>
      </c>
      <c r="H497" s="20">
        <v>3500</v>
      </c>
      <c r="I497" s="24">
        <v>0.12</v>
      </c>
      <c r="J497" s="28">
        <f>Table2[[#This Row],[Quantity]]*Table2[[#This Row],[Unit_Price]]</f>
        <v>24500</v>
      </c>
      <c r="K497" s="31">
        <f t="shared" si="7"/>
        <v>21560</v>
      </c>
      <c r="L497" s="31">
        <f>Table2[[#This Row],[gross sales]]-Table2[[#This Row],[net sale]]</f>
        <v>2940</v>
      </c>
      <c r="M497" s="37" t="str">
        <f>TEXT(B497,"mmm")</f>
        <v>Aug</v>
      </c>
    </row>
    <row r="498" spans="1:13">
      <c r="A498" s="16">
        <v>1497</v>
      </c>
      <c r="B498" s="15">
        <v>45901</v>
      </c>
      <c r="C498" s="16" t="s">
        <v>9</v>
      </c>
      <c r="D498" s="16" t="s">
        <v>10</v>
      </c>
      <c r="E498" s="16" t="s">
        <v>22</v>
      </c>
      <c r="F498" s="16" t="s">
        <v>23</v>
      </c>
      <c r="G498" s="16">
        <v>15</v>
      </c>
      <c r="H498" s="17">
        <v>18000</v>
      </c>
      <c r="I498" s="23">
        <v>0.15</v>
      </c>
      <c r="J498" s="28">
        <f>Table2[[#This Row],[Quantity]]*Table2[[#This Row],[Unit_Price]]</f>
        <v>270000</v>
      </c>
      <c r="K498" s="31">
        <f t="shared" si="7"/>
        <v>229500</v>
      </c>
      <c r="L498" s="31">
        <f>Table2[[#This Row],[gross sales]]-Table2[[#This Row],[net sale]]</f>
        <v>40500</v>
      </c>
      <c r="M498" s="36" t="str">
        <f>TEXT(B498,"mmm")</f>
        <v>Sep</v>
      </c>
    </row>
    <row r="499" spans="1:13">
      <c r="A499" s="19">
        <v>1498</v>
      </c>
      <c r="B499" s="18">
        <v>45692</v>
      </c>
      <c r="C499" s="19" t="s">
        <v>21</v>
      </c>
      <c r="D499" s="19" t="s">
        <v>10</v>
      </c>
      <c r="E499" s="19" t="s">
        <v>14</v>
      </c>
      <c r="F499" s="19" t="s">
        <v>18</v>
      </c>
      <c r="G499" s="19">
        <v>2</v>
      </c>
      <c r="H499" s="20">
        <v>14000</v>
      </c>
      <c r="I499" s="24">
        <v>0.15</v>
      </c>
      <c r="J499" s="28">
        <f>Table2[[#This Row],[Quantity]]*Table2[[#This Row],[Unit_Price]]</f>
        <v>28000</v>
      </c>
      <c r="K499" s="31">
        <f t="shared" si="7"/>
        <v>23800</v>
      </c>
      <c r="L499" s="31">
        <f>Table2[[#This Row],[gross sales]]-Table2[[#This Row],[net sale]]</f>
        <v>4200</v>
      </c>
      <c r="M499" s="37" t="str">
        <f>TEXT(B499,"mmm")</f>
        <v>Feb</v>
      </c>
    </row>
    <row r="500" spans="1:13">
      <c r="A500" s="16">
        <v>1499</v>
      </c>
      <c r="B500" s="15">
        <v>45833</v>
      </c>
      <c r="C500" s="16" t="s">
        <v>29</v>
      </c>
      <c r="D500" s="16" t="s">
        <v>30</v>
      </c>
      <c r="E500" s="16" t="s">
        <v>17</v>
      </c>
      <c r="F500" s="16" t="s">
        <v>12</v>
      </c>
      <c r="G500" s="16">
        <v>4</v>
      </c>
      <c r="H500" s="16">
        <v>250</v>
      </c>
      <c r="I500" s="23">
        <v>0.15</v>
      </c>
      <c r="J500" s="28">
        <f>Table2[[#This Row],[Quantity]]*Table2[[#This Row],[Unit_Price]]</f>
        <v>1000</v>
      </c>
      <c r="K500" s="31">
        <f t="shared" si="7"/>
        <v>850</v>
      </c>
      <c r="L500" s="31">
        <f>Table2[[#This Row],[gross sales]]-Table2[[#This Row],[net sale]]</f>
        <v>150</v>
      </c>
      <c r="M500" s="36" t="str">
        <f>TEXT(B500,"mmm")</f>
        <v>Jun</v>
      </c>
    </row>
    <row r="501" spans="1:13">
      <c r="A501" s="19">
        <v>1500</v>
      </c>
      <c r="B501" s="18">
        <v>45922</v>
      </c>
      <c r="C501" s="19" t="s">
        <v>13</v>
      </c>
      <c r="D501" s="19" t="s">
        <v>10</v>
      </c>
      <c r="E501" s="19" t="s">
        <v>11</v>
      </c>
      <c r="F501" s="19" t="s">
        <v>15</v>
      </c>
      <c r="G501" s="19">
        <v>18</v>
      </c>
      <c r="H501" s="20">
        <v>1200</v>
      </c>
      <c r="I501" s="24">
        <v>0.05</v>
      </c>
      <c r="J501" s="28">
        <f>Table2[[#This Row],[Quantity]]*Table2[[#This Row],[Unit_Price]]</f>
        <v>21600</v>
      </c>
      <c r="K501" s="31">
        <f t="shared" si="7"/>
        <v>20520</v>
      </c>
      <c r="L501" s="31">
        <f>Table2[[#This Row],[gross sales]]-Table2[[#This Row],[net sale]]</f>
        <v>1080</v>
      </c>
      <c r="M501" s="37" t="str">
        <f>TEXT(B501,"mmm")</f>
        <v>Sep</v>
      </c>
    </row>
    <row r="502" spans="1:13">
      <c r="A502" s="16">
        <v>1501</v>
      </c>
      <c r="B502" s="15">
        <v>45894</v>
      </c>
      <c r="C502" s="16" t="s">
        <v>19</v>
      </c>
      <c r="D502" s="16" t="s">
        <v>10</v>
      </c>
      <c r="E502" s="16" t="s">
        <v>17</v>
      </c>
      <c r="F502" s="16" t="s">
        <v>32</v>
      </c>
      <c r="G502" s="16">
        <v>13</v>
      </c>
      <c r="H502" s="16">
        <v>800</v>
      </c>
      <c r="I502" s="23">
        <v>0.15</v>
      </c>
      <c r="J502" s="28">
        <f>Table2[[#This Row],[Quantity]]*Table2[[#This Row],[Unit_Price]]</f>
        <v>10400</v>
      </c>
      <c r="K502" s="31">
        <f t="shared" si="7"/>
        <v>8840</v>
      </c>
      <c r="L502" s="31">
        <f>Table2[[#This Row],[gross sales]]-Table2[[#This Row],[net sale]]</f>
        <v>1560</v>
      </c>
      <c r="M502" s="36" t="str">
        <f>TEXT(B502,"mmm")</f>
        <v>Aug</v>
      </c>
    </row>
    <row r="503" spans="1:13">
      <c r="A503" s="19">
        <v>1502</v>
      </c>
      <c r="B503" s="18">
        <v>45985</v>
      </c>
      <c r="C503" s="19" t="s">
        <v>29</v>
      </c>
      <c r="D503" s="19" t="s">
        <v>30</v>
      </c>
      <c r="E503" s="19" t="s">
        <v>14</v>
      </c>
      <c r="F503" s="19" t="s">
        <v>12</v>
      </c>
      <c r="G503" s="19">
        <v>14</v>
      </c>
      <c r="H503" s="19">
        <v>250</v>
      </c>
      <c r="I503" s="24">
        <v>0.1</v>
      </c>
      <c r="J503" s="28">
        <f>Table2[[#This Row],[Quantity]]*Table2[[#This Row],[Unit_Price]]</f>
        <v>3500</v>
      </c>
      <c r="K503" s="31">
        <f t="shared" si="7"/>
        <v>3150</v>
      </c>
      <c r="L503" s="31">
        <f>Table2[[#This Row],[gross sales]]-Table2[[#This Row],[net sale]]</f>
        <v>350</v>
      </c>
      <c r="M503" s="37" t="str">
        <f>TEXT(B503,"mmm")</f>
        <v>Nov</v>
      </c>
    </row>
    <row r="504" spans="1:13">
      <c r="A504" s="16">
        <v>1503</v>
      </c>
      <c r="B504" s="15">
        <v>45888</v>
      </c>
      <c r="C504" s="16" t="s">
        <v>28</v>
      </c>
      <c r="D504" s="16" t="s">
        <v>26</v>
      </c>
      <c r="E504" s="16" t="s">
        <v>14</v>
      </c>
      <c r="F504" s="16" t="s">
        <v>12</v>
      </c>
      <c r="G504" s="16">
        <v>14</v>
      </c>
      <c r="H504" s="17">
        <v>9000</v>
      </c>
      <c r="I504" s="23">
        <v>0.1</v>
      </c>
      <c r="J504" s="28">
        <f>Table2[[#This Row],[Quantity]]*Table2[[#This Row],[Unit_Price]]</f>
        <v>126000</v>
      </c>
      <c r="K504" s="31">
        <f t="shared" si="7"/>
        <v>113400</v>
      </c>
      <c r="L504" s="31">
        <f>Table2[[#This Row],[gross sales]]-Table2[[#This Row],[net sale]]</f>
        <v>12600</v>
      </c>
      <c r="M504" s="36" t="str">
        <f>TEXT(B504,"mmm")</f>
        <v>Aug</v>
      </c>
    </row>
    <row r="505" spans="1:13">
      <c r="A505" s="19">
        <v>1504</v>
      </c>
      <c r="B505" s="18">
        <v>45763</v>
      </c>
      <c r="C505" s="19" t="s">
        <v>21</v>
      </c>
      <c r="D505" s="19" t="s">
        <v>10</v>
      </c>
      <c r="E505" s="19" t="s">
        <v>14</v>
      </c>
      <c r="F505" s="19" t="s">
        <v>32</v>
      </c>
      <c r="G505" s="19">
        <v>3</v>
      </c>
      <c r="H505" s="20">
        <v>14000</v>
      </c>
      <c r="I505" s="24">
        <v>0.12</v>
      </c>
      <c r="J505" s="28">
        <f>Table2[[#This Row],[Quantity]]*Table2[[#This Row],[Unit_Price]]</f>
        <v>42000</v>
      </c>
      <c r="K505" s="31">
        <f t="shared" si="7"/>
        <v>36960</v>
      </c>
      <c r="L505" s="31">
        <f>Table2[[#This Row],[gross sales]]-Table2[[#This Row],[net sale]]</f>
        <v>5040</v>
      </c>
      <c r="M505" s="37" t="str">
        <f>TEXT(B505,"mmm")</f>
        <v>Apr</v>
      </c>
    </row>
    <row r="506" spans="1:13">
      <c r="A506" s="16">
        <v>1505</v>
      </c>
      <c r="B506" s="15">
        <v>45845</v>
      </c>
      <c r="C506" s="16" t="s">
        <v>33</v>
      </c>
      <c r="D506" s="16" t="s">
        <v>10</v>
      </c>
      <c r="E506" s="16" t="s">
        <v>14</v>
      </c>
      <c r="F506" s="16" t="s">
        <v>27</v>
      </c>
      <c r="G506" s="16">
        <v>7</v>
      </c>
      <c r="H506" s="17">
        <v>2500</v>
      </c>
      <c r="I506" s="23">
        <v>0.1</v>
      </c>
      <c r="J506" s="28">
        <f>Table2[[#This Row],[Quantity]]*Table2[[#This Row],[Unit_Price]]</f>
        <v>17500</v>
      </c>
      <c r="K506" s="31">
        <f t="shared" si="7"/>
        <v>15750</v>
      </c>
      <c r="L506" s="31">
        <f>Table2[[#This Row],[gross sales]]-Table2[[#This Row],[net sale]]</f>
        <v>1750</v>
      </c>
      <c r="M506" s="36" t="str">
        <f>TEXT(B506,"mmm")</f>
        <v>Jul</v>
      </c>
    </row>
    <row r="507" spans="1:13">
      <c r="A507" s="19">
        <v>1506</v>
      </c>
      <c r="B507" s="18">
        <v>46001</v>
      </c>
      <c r="C507" s="19" t="s">
        <v>38</v>
      </c>
      <c r="D507" s="19" t="s">
        <v>10</v>
      </c>
      <c r="E507" s="19" t="s">
        <v>11</v>
      </c>
      <c r="F507" s="19" t="s">
        <v>15</v>
      </c>
      <c r="G507" s="19">
        <v>16</v>
      </c>
      <c r="H507" s="20">
        <v>42000</v>
      </c>
      <c r="I507" s="24">
        <v>0.12</v>
      </c>
      <c r="J507" s="28">
        <f>Table2[[#This Row],[Quantity]]*Table2[[#This Row],[Unit_Price]]</f>
        <v>672000</v>
      </c>
      <c r="K507" s="31">
        <f t="shared" si="7"/>
        <v>591360</v>
      </c>
      <c r="L507" s="31">
        <f>Table2[[#This Row],[gross sales]]-Table2[[#This Row],[net sale]]</f>
        <v>80640</v>
      </c>
      <c r="M507" s="37" t="str">
        <f>TEXT(B507,"mmm")</f>
        <v>Dec</v>
      </c>
    </row>
    <row r="508" spans="1:13">
      <c r="A508" s="16">
        <v>1507</v>
      </c>
      <c r="B508" s="15">
        <v>45970</v>
      </c>
      <c r="C508" s="16" t="s">
        <v>31</v>
      </c>
      <c r="D508" s="16" t="s">
        <v>26</v>
      </c>
      <c r="E508" s="16" t="s">
        <v>11</v>
      </c>
      <c r="F508" s="16" t="s">
        <v>23</v>
      </c>
      <c r="G508" s="16">
        <v>19</v>
      </c>
      <c r="H508" s="17">
        <v>8500</v>
      </c>
      <c r="I508" s="23">
        <v>0</v>
      </c>
      <c r="J508" s="28">
        <f>Table2[[#This Row],[Quantity]]*Table2[[#This Row],[Unit_Price]]</f>
        <v>161500</v>
      </c>
      <c r="K508" s="31">
        <f t="shared" si="7"/>
        <v>161500</v>
      </c>
      <c r="L508" s="31">
        <f>Table2[[#This Row],[gross sales]]-Table2[[#This Row],[net sale]]</f>
        <v>0</v>
      </c>
      <c r="M508" s="36" t="str">
        <f>TEXT(B508,"mmm")</f>
        <v>Nov</v>
      </c>
    </row>
    <row r="509" spans="1:13">
      <c r="A509" s="19">
        <v>1508</v>
      </c>
      <c r="B509" s="18">
        <v>45892</v>
      </c>
      <c r="C509" s="19" t="s">
        <v>28</v>
      </c>
      <c r="D509" s="19" t="s">
        <v>26</v>
      </c>
      <c r="E509" s="19" t="s">
        <v>11</v>
      </c>
      <c r="F509" s="19" t="s">
        <v>24</v>
      </c>
      <c r="G509" s="19">
        <v>6</v>
      </c>
      <c r="H509" s="20">
        <v>9000</v>
      </c>
      <c r="I509" s="24">
        <v>0.15</v>
      </c>
      <c r="J509" s="28">
        <f>Table2[[#This Row],[Quantity]]*Table2[[#This Row],[Unit_Price]]</f>
        <v>54000</v>
      </c>
      <c r="K509" s="31">
        <f t="shared" si="7"/>
        <v>45900</v>
      </c>
      <c r="L509" s="31">
        <f>Table2[[#This Row],[gross sales]]-Table2[[#This Row],[net sale]]</f>
        <v>8100</v>
      </c>
      <c r="M509" s="37" t="str">
        <f>TEXT(B509,"mmm")</f>
        <v>Aug</v>
      </c>
    </row>
    <row r="510" spans="1:13">
      <c r="A510" s="16">
        <v>1509</v>
      </c>
      <c r="B510" s="15">
        <v>46002</v>
      </c>
      <c r="C510" s="16" t="s">
        <v>13</v>
      </c>
      <c r="D510" s="16" t="s">
        <v>10</v>
      </c>
      <c r="E510" s="16" t="s">
        <v>17</v>
      </c>
      <c r="F510" s="16" t="s">
        <v>27</v>
      </c>
      <c r="G510" s="16">
        <v>11</v>
      </c>
      <c r="H510" s="17">
        <v>1200</v>
      </c>
      <c r="I510" s="23">
        <v>0</v>
      </c>
      <c r="J510" s="28">
        <f>Table2[[#This Row],[Quantity]]*Table2[[#This Row],[Unit_Price]]</f>
        <v>13200</v>
      </c>
      <c r="K510" s="31">
        <f t="shared" si="7"/>
        <v>13200</v>
      </c>
      <c r="L510" s="31">
        <f>Table2[[#This Row],[gross sales]]-Table2[[#This Row],[net sale]]</f>
        <v>0</v>
      </c>
      <c r="M510" s="36" t="str">
        <f>TEXT(B510,"mmm")</f>
        <v>Dec</v>
      </c>
    </row>
    <row r="511" spans="1:13">
      <c r="A511" s="19">
        <v>1510</v>
      </c>
      <c r="B511" s="18">
        <v>45717</v>
      </c>
      <c r="C511" s="19" t="s">
        <v>13</v>
      </c>
      <c r="D511" s="19" t="s">
        <v>10</v>
      </c>
      <c r="E511" s="19" t="s">
        <v>17</v>
      </c>
      <c r="F511" s="19" t="s">
        <v>15</v>
      </c>
      <c r="G511" s="19">
        <v>12</v>
      </c>
      <c r="H511" s="20">
        <v>1200</v>
      </c>
      <c r="I511" s="24">
        <v>0.15</v>
      </c>
      <c r="J511" s="28">
        <f>Table2[[#This Row],[Quantity]]*Table2[[#This Row],[Unit_Price]]</f>
        <v>14400</v>
      </c>
      <c r="K511" s="31">
        <f t="shared" si="7"/>
        <v>12240</v>
      </c>
      <c r="L511" s="31">
        <f>Table2[[#This Row],[gross sales]]-Table2[[#This Row],[net sale]]</f>
        <v>2160</v>
      </c>
      <c r="M511" s="37" t="str">
        <f>TEXT(B511,"mmm")</f>
        <v>Mar</v>
      </c>
    </row>
    <row r="512" spans="1:13">
      <c r="A512" s="16">
        <v>1511</v>
      </c>
      <c r="B512" s="15">
        <v>45872</v>
      </c>
      <c r="C512" s="16" t="s">
        <v>28</v>
      </c>
      <c r="D512" s="16" t="s">
        <v>26</v>
      </c>
      <c r="E512" s="16" t="s">
        <v>22</v>
      </c>
      <c r="F512" s="16" t="s">
        <v>15</v>
      </c>
      <c r="G512" s="16">
        <v>5</v>
      </c>
      <c r="H512" s="17">
        <v>9000</v>
      </c>
      <c r="I512" s="23">
        <v>0.12</v>
      </c>
      <c r="J512" s="28">
        <f>Table2[[#This Row],[Quantity]]*Table2[[#This Row],[Unit_Price]]</f>
        <v>45000</v>
      </c>
      <c r="K512" s="31">
        <f t="shared" si="7"/>
        <v>39600</v>
      </c>
      <c r="L512" s="31">
        <f>Table2[[#This Row],[gross sales]]-Table2[[#This Row],[net sale]]</f>
        <v>5400</v>
      </c>
      <c r="M512" s="36" t="str">
        <f>TEXT(B512,"mmm")</f>
        <v>Aug</v>
      </c>
    </row>
    <row r="513" spans="1:13">
      <c r="A513" s="19">
        <v>1512</v>
      </c>
      <c r="B513" s="18">
        <v>45753</v>
      </c>
      <c r="C513" s="19" t="s">
        <v>34</v>
      </c>
      <c r="D513" s="19" t="s">
        <v>26</v>
      </c>
      <c r="E513" s="19" t="s">
        <v>17</v>
      </c>
      <c r="F513" s="19" t="s">
        <v>32</v>
      </c>
      <c r="G513" s="19">
        <v>18</v>
      </c>
      <c r="H513" s="20">
        <v>15000</v>
      </c>
      <c r="I513" s="24">
        <v>0.15</v>
      </c>
      <c r="J513" s="28">
        <f>Table2[[#This Row],[Quantity]]*Table2[[#This Row],[Unit_Price]]</f>
        <v>270000</v>
      </c>
      <c r="K513" s="31">
        <f t="shared" si="7"/>
        <v>229500</v>
      </c>
      <c r="L513" s="31">
        <f>Table2[[#This Row],[gross sales]]-Table2[[#This Row],[net sale]]</f>
        <v>40500</v>
      </c>
      <c r="M513" s="37" t="str">
        <f>TEXT(B513,"mmm")</f>
        <v>Apr</v>
      </c>
    </row>
    <row r="514" spans="1:13">
      <c r="A514" s="16">
        <v>1513</v>
      </c>
      <c r="B514" s="15">
        <v>45908</v>
      </c>
      <c r="C514" s="16" t="s">
        <v>21</v>
      </c>
      <c r="D514" s="16" t="s">
        <v>10</v>
      </c>
      <c r="E514" s="16" t="s">
        <v>11</v>
      </c>
      <c r="F514" s="16" t="s">
        <v>20</v>
      </c>
      <c r="G514" s="16">
        <v>5</v>
      </c>
      <c r="H514" s="17">
        <v>14000</v>
      </c>
      <c r="I514" s="23">
        <v>0.05</v>
      </c>
      <c r="J514" s="28">
        <f>Table2[[#This Row],[Quantity]]*Table2[[#This Row],[Unit_Price]]</f>
        <v>70000</v>
      </c>
      <c r="K514" s="31">
        <f t="shared" ref="K514:K577" si="8">J514*(1-I514)</f>
        <v>66500</v>
      </c>
      <c r="L514" s="31">
        <f>Table2[[#This Row],[gross sales]]-Table2[[#This Row],[net sale]]</f>
        <v>3500</v>
      </c>
      <c r="M514" s="36" t="str">
        <f>TEXT(B514,"mmm")</f>
        <v>Sep</v>
      </c>
    </row>
    <row r="515" spans="1:13">
      <c r="A515" s="19">
        <v>1514</v>
      </c>
      <c r="B515" s="18">
        <v>45975</v>
      </c>
      <c r="C515" s="19" t="s">
        <v>16</v>
      </c>
      <c r="D515" s="19" t="s">
        <v>10</v>
      </c>
      <c r="E515" s="19" t="s">
        <v>22</v>
      </c>
      <c r="F515" s="19" t="s">
        <v>32</v>
      </c>
      <c r="G515" s="19">
        <v>12</v>
      </c>
      <c r="H515" s="20">
        <v>55000</v>
      </c>
      <c r="I515" s="24">
        <v>0</v>
      </c>
      <c r="J515" s="28">
        <f>Table2[[#This Row],[Quantity]]*Table2[[#This Row],[Unit_Price]]</f>
        <v>660000</v>
      </c>
      <c r="K515" s="31">
        <f t="shared" si="8"/>
        <v>660000</v>
      </c>
      <c r="L515" s="31">
        <f>Table2[[#This Row],[gross sales]]-Table2[[#This Row],[net sale]]</f>
        <v>0</v>
      </c>
      <c r="M515" s="37" t="str">
        <f>TEXT(B515,"mmm")</f>
        <v>Nov</v>
      </c>
    </row>
    <row r="516" spans="1:13">
      <c r="A516" s="16">
        <v>1515</v>
      </c>
      <c r="B516" s="15">
        <v>45757</v>
      </c>
      <c r="C516" s="16" t="s">
        <v>38</v>
      </c>
      <c r="D516" s="16" t="s">
        <v>10</v>
      </c>
      <c r="E516" s="16" t="s">
        <v>22</v>
      </c>
      <c r="F516" s="16" t="s">
        <v>15</v>
      </c>
      <c r="G516" s="16">
        <v>13</v>
      </c>
      <c r="H516" s="17">
        <v>42000</v>
      </c>
      <c r="I516" s="23">
        <v>0.12</v>
      </c>
      <c r="J516" s="28">
        <f>Table2[[#This Row],[Quantity]]*Table2[[#This Row],[Unit_Price]]</f>
        <v>546000</v>
      </c>
      <c r="K516" s="31">
        <f t="shared" si="8"/>
        <v>480480</v>
      </c>
      <c r="L516" s="31">
        <f>Table2[[#This Row],[gross sales]]-Table2[[#This Row],[net sale]]</f>
        <v>65520</v>
      </c>
      <c r="M516" s="36" t="str">
        <f>TEXT(B516,"mmm")</f>
        <v>Apr</v>
      </c>
    </row>
    <row r="517" spans="1:13">
      <c r="A517" s="19">
        <v>1516</v>
      </c>
      <c r="B517" s="18">
        <v>46008</v>
      </c>
      <c r="C517" s="19" t="s">
        <v>34</v>
      </c>
      <c r="D517" s="19" t="s">
        <v>26</v>
      </c>
      <c r="E517" s="19" t="s">
        <v>22</v>
      </c>
      <c r="F517" s="19" t="s">
        <v>20</v>
      </c>
      <c r="G517" s="19">
        <v>14</v>
      </c>
      <c r="H517" s="20">
        <v>15000</v>
      </c>
      <c r="I517" s="24">
        <v>0.15</v>
      </c>
      <c r="J517" s="28">
        <f>Table2[[#This Row],[Quantity]]*Table2[[#This Row],[Unit_Price]]</f>
        <v>210000</v>
      </c>
      <c r="K517" s="31">
        <f t="shared" si="8"/>
        <v>178500</v>
      </c>
      <c r="L517" s="31">
        <f>Table2[[#This Row],[gross sales]]-Table2[[#This Row],[net sale]]</f>
        <v>31500</v>
      </c>
      <c r="M517" s="37" t="str">
        <f>TEXT(B517,"mmm")</f>
        <v>Dec</v>
      </c>
    </row>
    <row r="518" spans="1:13">
      <c r="A518" s="16">
        <v>1517</v>
      </c>
      <c r="B518" s="15">
        <v>45743</v>
      </c>
      <c r="C518" s="16" t="s">
        <v>9</v>
      </c>
      <c r="D518" s="16" t="s">
        <v>10</v>
      </c>
      <c r="E518" s="16" t="s">
        <v>17</v>
      </c>
      <c r="F518" s="16" t="s">
        <v>27</v>
      </c>
      <c r="G518" s="16">
        <v>19</v>
      </c>
      <c r="H518" s="17">
        <v>18000</v>
      </c>
      <c r="I518" s="23">
        <v>0</v>
      </c>
      <c r="J518" s="28">
        <f>Table2[[#This Row],[Quantity]]*Table2[[#This Row],[Unit_Price]]</f>
        <v>342000</v>
      </c>
      <c r="K518" s="31">
        <f t="shared" si="8"/>
        <v>342000</v>
      </c>
      <c r="L518" s="31">
        <f>Table2[[#This Row],[gross sales]]-Table2[[#This Row],[net sale]]</f>
        <v>0</v>
      </c>
      <c r="M518" s="36" t="str">
        <f>TEXT(B518,"mmm")</f>
        <v>Mar</v>
      </c>
    </row>
    <row r="519" spans="1:13">
      <c r="A519" s="19">
        <v>1518</v>
      </c>
      <c r="B519" s="18">
        <v>45674</v>
      </c>
      <c r="C519" s="19" t="s">
        <v>21</v>
      </c>
      <c r="D519" s="19" t="s">
        <v>10</v>
      </c>
      <c r="E519" s="19" t="s">
        <v>11</v>
      </c>
      <c r="F519" s="19" t="s">
        <v>32</v>
      </c>
      <c r="G519" s="19">
        <v>8</v>
      </c>
      <c r="H519" s="20">
        <v>14000</v>
      </c>
      <c r="I519" s="24">
        <v>0.12</v>
      </c>
      <c r="J519" s="28">
        <f>Table2[[#This Row],[Quantity]]*Table2[[#This Row],[Unit_Price]]</f>
        <v>112000</v>
      </c>
      <c r="K519" s="31">
        <f t="shared" si="8"/>
        <v>98560</v>
      </c>
      <c r="L519" s="31">
        <f>Table2[[#This Row],[gross sales]]-Table2[[#This Row],[net sale]]</f>
        <v>13440</v>
      </c>
      <c r="M519" s="37" t="str">
        <f>TEXT(B519,"mmm")</f>
        <v>Jan</v>
      </c>
    </row>
    <row r="520" spans="1:13">
      <c r="A520" s="16">
        <v>1519</v>
      </c>
      <c r="B520" s="15">
        <v>45892</v>
      </c>
      <c r="C520" s="16" t="s">
        <v>28</v>
      </c>
      <c r="D520" s="16" t="s">
        <v>26</v>
      </c>
      <c r="E520" s="16" t="s">
        <v>14</v>
      </c>
      <c r="F520" s="16" t="s">
        <v>24</v>
      </c>
      <c r="G520" s="16">
        <v>16</v>
      </c>
      <c r="H520" s="17">
        <v>9000</v>
      </c>
      <c r="I520" s="23">
        <v>0.12</v>
      </c>
      <c r="J520" s="28">
        <f>Table2[[#This Row],[Quantity]]*Table2[[#This Row],[Unit_Price]]</f>
        <v>144000</v>
      </c>
      <c r="K520" s="31">
        <f t="shared" si="8"/>
        <v>126720</v>
      </c>
      <c r="L520" s="31">
        <f>Table2[[#This Row],[gross sales]]-Table2[[#This Row],[net sale]]</f>
        <v>17280</v>
      </c>
      <c r="M520" s="36" t="str">
        <f>TEXT(B520,"mmm")</f>
        <v>Aug</v>
      </c>
    </row>
    <row r="521" spans="1:13">
      <c r="A521" s="19">
        <v>1520</v>
      </c>
      <c r="B521" s="18">
        <v>45795</v>
      </c>
      <c r="C521" s="19" t="s">
        <v>35</v>
      </c>
      <c r="D521" s="19" t="s">
        <v>36</v>
      </c>
      <c r="E521" s="19" t="s">
        <v>14</v>
      </c>
      <c r="F521" s="19" t="s">
        <v>20</v>
      </c>
      <c r="G521" s="19">
        <v>18</v>
      </c>
      <c r="H521" s="20">
        <v>3500</v>
      </c>
      <c r="I521" s="24">
        <v>0.08</v>
      </c>
      <c r="J521" s="28">
        <f>Table2[[#This Row],[Quantity]]*Table2[[#This Row],[Unit_Price]]</f>
        <v>63000</v>
      </c>
      <c r="K521" s="31">
        <f t="shared" si="8"/>
        <v>57960</v>
      </c>
      <c r="L521" s="31">
        <f>Table2[[#This Row],[gross sales]]-Table2[[#This Row],[net sale]]</f>
        <v>5040</v>
      </c>
      <c r="M521" s="37" t="str">
        <f>TEXT(B521,"mmm")</f>
        <v>May</v>
      </c>
    </row>
    <row r="522" spans="1:13">
      <c r="A522" s="16">
        <v>1521</v>
      </c>
      <c r="B522" s="15">
        <v>45937</v>
      </c>
      <c r="C522" s="16" t="s">
        <v>19</v>
      </c>
      <c r="D522" s="16" t="s">
        <v>10</v>
      </c>
      <c r="E522" s="16" t="s">
        <v>17</v>
      </c>
      <c r="F522" s="16" t="s">
        <v>27</v>
      </c>
      <c r="G522" s="16">
        <v>14</v>
      </c>
      <c r="H522" s="16">
        <v>800</v>
      </c>
      <c r="I522" s="23">
        <v>0</v>
      </c>
      <c r="J522" s="28">
        <f>Table2[[#This Row],[Quantity]]*Table2[[#This Row],[Unit_Price]]</f>
        <v>11200</v>
      </c>
      <c r="K522" s="31">
        <f t="shared" si="8"/>
        <v>11200</v>
      </c>
      <c r="L522" s="31">
        <f>Table2[[#This Row],[gross sales]]-Table2[[#This Row],[net sale]]</f>
        <v>0</v>
      </c>
      <c r="M522" s="36" t="str">
        <f>TEXT(B522,"mmm")</f>
        <v>Oct</v>
      </c>
    </row>
    <row r="523" spans="1:13">
      <c r="A523" s="19">
        <v>1522</v>
      </c>
      <c r="B523" s="18">
        <v>45674</v>
      </c>
      <c r="C523" s="19" t="s">
        <v>34</v>
      </c>
      <c r="D523" s="19" t="s">
        <v>26</v>
      </c>
      <c r="E523" s="19" t="s">
        <v>14</v>
      </c>
      <c r="F523" s="19" t="s">
        <v>20</v>
      </c>
      <c r="G523" s="19">
        <v>9</v>
      </c>
      <c r="H523" s="20">
        <v>15000</v>
      </c>
      <c r="I523" s="24">
        <v>0.08</v>
      </c>
      <c r="J523" s="28">
        <f>Table2[[#This Row],[Quantity]]*Table2[[#This Row],[Unit_Price]]</f>
        <v>135000</v>
      </c>
      <c r="K523" s="31">
        <f t="shared" si="8"/>
        <v>124200</v>
      </c>
      <c r="L523" s="31">
        <f>Table2[[#This Row],[gross sales]]-Table2[[#This Row],[net sale]]</f>
        <v>10800</v>
      </c>
      <c r="M523" s="37" t="str">
        <f>TEXT(B523,"mmm")</f>
        <v>Jan</v>
      </c>
    </row>
    <row r="524" spans="1:13">
      <c r="A524" s="16">
        <v>1523</v>
      </c>
      <c r="B524" s="15">
        <v>45718</v>
      </c>
      <c r="C524" s="16" t="s">
        <v>35</v>
      </c>
      <c r="D524" s="16" t="s">
        <v>36</v>
      </c>
      <c r="E524" s="16" t="s">
        <v>11</v>
      </c>
      <c r="F524" s="16" t="s">
        <v>15</v>
      </c>
      <c r="G524" s="16">
        <v>8</v>
      </c>
      <c r="H524" s="17">
        <v>3500</v>
      </c>
      <c r="I524" s="23">
        <v>0.05</v>
      </c>
      <c r="J524" s="28">
        <f>Table2[[#This Row],[Quantity]]*Table2[[#This Row],[Unit_Price]]</f>
        <v>28000</v>
      </c>
      <c r="K524" s="31">
        <f t="shared" si="8"/>
        <v>26600</v>
      </c>
      <c r="L524" s="31">
        <f>Table2[[#This Row],[gross sales]]-Table2[[#This Row],[net sale]]</f>
        <v>1400</v>
      </c>
      <c r="M524" s="36" t="str">
        <f>TEXT(B524,"mmm")</f>
        <v>Mar</v>
      </c>
    </row>
    <row r="525" spans="1:13">
      <c r="A525" s="19">
        <v>1524</v>
      </c>
      <c r="B525" s="18">
        <v>45742</v>
      </c>
      <c r="C525" s="19" t="s">
        <v>28</v>
      </c>
      <c r="D525" s="19" t="s">
        <v>26</v>
      </c>
      <c r="E525" s="19" t="s">
        <v>17</v>
      </c>
      <c r="F525" s="19" t="s">
        <v>18</v>
      </c>
      <c r="G525" s="19">
        <v>5</v>
      </c>
      <c r="H525" s="20">
        <v>9000</v>
      </c>
      <c r="I525" s="24">
        <v>0.05</v>
      </c>
      <c r="J525" s="28">
        <f>Table2[[#This Row],[Quantity]]*Table2[[#This Row],[Unit_Price]]</f>
        <v>45000</v>
      </c>
      <c r="K525" s="31">
        <f t="shared" si="8"/>
        <v>42750</v>
      </c>
      <c r="L525" s="31">
        <f>Table2[[#This Row],[gross sales]]-Table2[[#This Row],[net sale]]</f>
        <v>2250</v>
      </c>
      <c r="M525" s="37" t="str">
        <f>TEXT(B525,"mmm")</f>
        <v>Mar</v>
      </c>
    </row>
    <row r="526" spans="1:13">
      <c r="A526" s="16">
        <v>1525</v>
      </c>
      <c r="B526" s="15">
        <v>45949</v>
      </c>
      <c r="C526" s="16" t="s">
        <v>33</v>
      </c>
      <c r="D526" s="16" t="s">
        <v>10</v>
      </c>
      <c r="E526" s="16" t="s">
        <v>17</v>
      </c>
      <c r="F526" s="16" t="s">
        <v>23</v>
      </c>
      <c r="G526" s="16">
        <v>18</v>
      </c>
      <c r="H526" s="17">
        <v>2500</v>
      </c>
      <c r="I526" s="23">
        <v>0.5</v>
      </c>
      <c r="J526" s="28">
        <f>Table2[[#This Row],[Quantity]]*Table2[[#This Row],[Unit_Price]]</f>
        <v>45000</v>
      </c>
      <c r="K526" s="31">
        <f t="shared" si="8"/>
        <v>22500</v>
      </c>
      <c r="L526" s="31">
        <f>Table2[[#This Row],[gross sales]]-Table2[[#This Row],[net sale]]</f>
        <v>22500</v>
      </c>
      <c r="M526" s="36" t="str">
        <f>TEXT(B526,"mmm")</f>
        <v>Oct</v>
      </c>
    </row>
    <row r="527" spans="1:13">
      <c r="A527" s="19">
        <v>1526</v>
      </c>
      <c r="B527" s="18">
        <v>46018</v>
      </c>
      <c r="C527" s="19" t="s">
        <v>21</v>
      </c>
      <c r="D527" s="19" t="s">
        <v>10</v>
      </c>
      <c r="E527" s="19" t="s">
        <v>11</v>
      </c>
      <c r="F527" s="19" t="s">
        <v>24</v>
      </c>
      <c r="G527" s="19">
        <v>10</v>
      </c>
      <c r="H527" s="20">
        <v>14000</v>
      </c>
      <c r="I527" s="24">
        <v>0.12</v>
      </c>
      <c r="J527" s="28">
        <f>Table2[[#This Row],[Quantity]]*Table2[[#This Row],[Unit_Price]]</f>
        <v>140000</v>
      </c>
      <c r="K527" s="31">
        <f t="shared" si="8"/>
        <v>123200</v>
      </c>
      <c r="L527" s="31">
        <f>Table2[[#This Row],[gross sales]]-Table2[[#This Row],[net sale]]</f>
        <v>16800</v>
      </c>
      <c r="M527" s="37" t="str">
        <f>TEXT(B527,"mmm")</f>
        <v>Dec</v>
      </c>
    </row>
    <row r="528" spans="1:13">
      <c r="A528" s="16">
        <v>1527</v>
      </c>
      <c r="B528" s="15">
        <v>45727</v>
      </c>
      <c r="C528" s="16" t="s">
        <v>35</v>
      </c>
      <c r="D528" s="16" t="s">
        <v>36</v>
      </c>
      <c r="E528" s="16" t="s">
        <v>11</v>
      </c>
      <c r="F528" s="16" t="s">
        <v>32</v>
      </c>
      <c r="G528" s="16">
        <v>14</v>
      </c>
      <c r="H528" s="17">
        <v>3500</v>
      </c>
      <c r="I528" s="23">
        <v>0</v>
      </c>
      <c r="J528" s="28">
        <f>Table2[[#This Row],[Quantity]]*Table2[[#This Row],[Unit_Price]]</f>
        <v>49000</v>
      </c>
      <c r="K528" s="31">
        <f t="shared" si="8"/>
        <v>49000</v>
      </c>
      <c r="L528" s="31">
        <f>Table2[[#This Row],[gross sales]]-Table2[[#This Row],[net sale]]</f>
        <v>0</v>
      </c>
      <c r="M528" s="36" t="str">
        <f>TEXT(B528,"mmm")</f>
        <v>Mar</v>
      </c>
    </row>
    <row r="529" spans="1:13">
      <c r="A529" s="19">
        <v>1528</v>
      </c>
      <c r="B529" s="18">
        <v>46017</v>
      </c>
      <c r="C529" s="19" t="s">
        <v>38</v>
      </c>
      <c r="D529" s="19" t="s">
        <v>10</v>
      </c>
      <c r="E529" s="19" t="s">
        <v>17</v>
      </c>
      <c r="F529" s="19" t="s">
        <v>23</v>
      </c>
      <c r="G529" s="19">
        <v>5</v>
      </c>
      <c r="H529" s="20">
        <v>42000</v>
      </c>
      <c r="I529" s="24">
        <v>0.05</v>
      </c>
      <c r="J529" s="28">
        <f>Table2[[#This Row],[Quantity]]*Table2[[#This Row],[Unit_Price]]</f>
        <v>210000</v>
      </c>
      <c r="K529" s="31">
        <f t="shared" si="8"/>
        <v>199500</v>
      </c>
      <c r="L529" s="31">
        <f>Table2[[#This Row],[gross sales]]-Table2[[#This Row],[net sale]]</f>
        <v>10500</v>
      </c>
      <c r="M529" s="37" t="str">
        <f>TEXT(B529,"mmm")</f>
        <v>Dec</v>
      </c>
    </row>
    <row r="530" spans="1:13">
      <c r="A530" s="16">
        <v>1529</v>
      </c>
      <c r="B530" s="15">
        <v>45784</v>
      </c>
      <c r="C530" s="16" t="s">
        <v>35</v>
      </c>
      <c r="D530" s="16" t="s">
        <v>36</v>
      </c>
      <c r="E530" s="16" t="s">
        <v>17</v>
      </c>
      <c r="F530" s="16" t="s">
        <v>27</v>
      </c>
      <c r="G530" s="16">
        <v>13</v>
      </c>
      <c r="H530" s="17">
        <v>3500</v>
      </c>
      <c r="I530" s="23">
        <v>0.1</v>
      </c>
      <c r="J530" s="28">
        <f>Table2[[#This Row],[Quantity]]*Table2[[#This Row],[Unit_Price]]</f>
        <v>45500</v>
      </c>
      <c r="K530" s="31">
        <f t="shared" si="8"/>
        <v>40950</v>
      </c>
      <c r="L530" s="31">
        <f>Table2[[#This Row],[gross sales]]-Table2[[#This Row],[net sale]]</f>
        <v>4550</v>
      </c>
      <c r="M530" s="36" t="str">
        <f>TEXT(B530,"mmm")</f>
        <v>May</v>
      </c>
    </row>
    <row r="531" spans="1:13">
      <c r="A531" s="19">
        <v>1530</v>
      </c>
      <c r="B531" s="18">
        <v>45979</v>
      </c>
      <c r="C531" s="19" t="s">
        <v>31</v>
      </c>
      <c r="D531" s="19" t="s">
        <v>26</v>
      </c>
      <c r="E531" s="19" t="s">
        <v>14</v>
      </c>
      <c r="F531" s="19" t="s">
        <v>24</v>
      </c>
      <c r="G531" s="19">
        <v>13</v>
      </c>
      <c r="H531" s="20">
        <v>8500</v>
      </c>
      <c r="I531" s="24">
        <v>0.1</v>
      </c>
      <c r="J531" s="28">
        <f>Table2[[#This Row],[Quantity]]*Table2[[#This Row],[Unit_Price]]</f>
        <v>110500</v>
      </c>
      <c r="K531" s="31">
        <f t="shared" si="8"/>
        <v>99450</v>
      </c>
      <c r="L531" s="31">
        <f>Table2[[#This Row],[gross sales]]-Table2[[#This Row],[net sale]]</f>
        <v>11050</v>
      </c>
      <c r="M531" s="37" t="str">
        <f>TEXT(B531,"mmm")</f>
        <v>Nov</v>
      </c>
    </row>
    <row r="532" spans="1:13">
      <c r="A532" s="16">
        <v>1531</v>
      </c>
      <c r="B532" s="15">
        <v>45864</v>
      </c>
      <c r="C532" s="16" t="s">
        <v>25</v>
      </c>
      <c r="D532" s="16" t="s">
        <v>26</v>
      </c>
      <c r="E532" s="16" t="s">
        <v>11</v>
      </c>
      <c r="F532" s="16" t="s">
        <v>20</v>
      </c>
      <c r="G532" s="16">
        <v>9</v>
      </c>
      <c r="H532" s="17">
        <v>11000</v>
      </c>
      <c r="I532" s="23">
        <v>0.15</v>
      </c>
      <c r="J532" s="28">
        <f>Table2[[#This Row],[Quantity]]*Table2[[#This Row],[Unit_Price]]</f>
        <v>99000</v>
      </c>
      <c r="K532" s="31">
        <f t="shared" si="8"/>
        <v>84150</v>
      </c>
      <c r="L532" s="31">
        <f>Table2[[#This Row],[gross sales]]-Table2[[#This Row],[net sale]]</f>
        <v>14850</v>
      </c>
      <c r="M532" s="36" t="str">
        <f>TEXT(B532,"mmm")</f>
        <v>Jul</v>
      </c>
    </row>
    <row r="533" spans="1:13">
      <c r="A533" s="19">
        <v>1532</v>
      </c>
      <c r="B533" s="18">
        <v>45907</v>
      </c>
      <c r="C533" s="19" t="s">
        <v>33</v>
      </c>
      <c r="D533" s="19" t="s">
        <v>10</v>
      </c>
      <c r="E533" s="19" t="s">
        <v>14</v>
      </c>
      <c r="F533" s="19" t="s">
        <v>20</v>
      </c>
      <c r="G533" s="19">
        <v>19</v>
      </c>
      <c r="H533" s="20">
        <v>2500</v>
      </c>
      <c r="I533" s="24">
        <v>0</v>
      </c>
      <c r="J533" s="28">
        <f>Table2[[#This Row],[Quantity]]*Table2[[#This Row],[Unit_Price]]</f>
        <v>47500</v>
      </c>
      <c r="K533" s="31">
        <f t="shared" si="8"/>
        <v>47500</v>
      </c>
      <c r="L533" s="31">
        <f>Table2[[#This Row],[gross sales]]-Table2[[#This Row],[net sale]]</f>
        <v>0</v>
      </c>
      <c r="M533" s="37" t="str">
        <f>TEXT(B533,"mmm")</f>
        <v>Sep</v>
      </c>
    </row>
    <row r="534" spans="1:13">
      <c r="A534" s="16">
        <v>1533</v>
      </c>
      <c r="B534" s="15">
        <v>45983</v>
      </c>
      <c r="C534" s="16" t="s">
        <v>29</v>
      </c>
      <c r="D534" s="16" t="s">
        <v>30</v>
      </c>
      <c r="E534" s="16" t="s">
        <v>22</v>
      </c>
      <c r="F534" s="16" t="s">
        <v>12</v>
      </c>
      <c r="G534" s="16">
        <v>12</v>
      </c>
      <c r="H534" s="16">
        <v>250</v>
      </c>
      <c r="I534" s="23">
        <v>0</v>
      </c>
      <c r="J534" s="28">
        <f>Table2[[#This Row],[Quantity]]*Table2[[#This Row],[Unit_Price]]</f>
        <v>3000</v>
      </c>
      <c r="K534" s="31">
        <f t="shared" si="8"/>
        <v>3000</v>
      </c>
      <c r="L534" s="31">
        <f>Table2[[#This Row],[gross sales]]-Table2[[#This Row],[net sale]]</f>
        <v>0</v>
      </c>
      <c r="M534" s="36" t="str">
        <f>TEXT(B534,"mmm")</f>
        <v>Nov</v>
      </c>
    </row>
    <row r="535" spans="1:13">
      <c r="A535" s="19">
        <v>1534</v>
      </c>
      <c r="B535" s="18">
        <v>45877</v>
      </c>
      <c r="C535" s="19" t="s">
        <v>38</v>
      </c>
      <c r="D535" s="19" t="s">
        <v>10</v>
      </c>
      <c r="E535" s="19" t="s">
        <v>11</v>
      </c>
      <c r="F535" s="19" t="s">
        <v>23</v>
      </c>
      <c r="G535" s="19">
        <v>7</v>
      </c>
      <c r="H535" s="20">
        <v>42000</v>
      </c>
      <c r="I535" s="24">
        <v>0.1</v>
      </c>
      <c r="J535" s="28">
        <f>Table2[[#This Row],[Quantity]]*Table2[[#This Row],[Unit_Price]]</f>
        <v>294000</v>
      </c>
      <c r="K535" s="31">
        <f t="shared" si="8"/>
        <v>264600</v>
      </c>
      <c r="L535" s="31">
        <f>Table2[[#This Row],[gross sales]]-Table2[[#This Row],[net sale]]</f>
        <v>29400</v>
      </c>
      <c r="M535" s="37" t="str">
        <f>TEXT(B535,"mmm")</f>
        <v>Aug</v>
      </c>
    </row>
    <row r="536" spans="1:13">
      <c r="A536" s="16">
        <v>1535</v>
      </c>
      <c r="B536" s="15">
        <v>45803</v>
      </c>
      <c r="C536" s="16" t="s">
        <v>33</v>
      </c>
      <c r="D536" s="16" t="s">
        <v>10</v>
      </c>
      <c r="E536" s="16" t="s">
        <v>17</v>
      </c>
      <c r="F536" s="16" t="s">
        <v>20</v>
      </c>
      <c r="G536" s="16">
        <v>18</v>
      </c>
      <c r="H536" s="17">
        <v>2500</v>
      </c>
      <c r="I536" s="23">
        <v>0.12</v>
      </c>
      <c r="J536" s="28">
        <f>Table2[[#This Row],[Quantity]]*Table2[[#This Row],[Unit_Price]]</f>
        <v>45000</v>
      </c>
      <c r="K536" s="31">
        <f t="shared" si="8"/>
        <v>39600</v>
      </c>
      <c r="L536" s="31">
        <f>Table2[[#This Row],[gross sales]]-Table2[[#This Row],[net sale]]</f>
        <v>5400</v>
      </c>
      <c r="M536" s="36" t="str">
        <f>TEXT(B536,"mmm")</f>
        <v>May</v>
      </c>
    </row>
    <row r="537" spans="1:13">
      <c r="A537" s="19">
        <v>1536</v>
      </c>
      <c r="B537" s="18">
        <v>45833</v>
      </c>
      <c r="C537" s="19" t="s">
        <v>37</v>
      </c>
      <c r="D537" s="19" t="s">
        <v>36</v>
      </c>
      <c r="E537" s="19" t="s">
        <v>14</v>
      </c>
      <c r="F537" s="19" t="s">
        <v>20</v>
      </c>
      <c r="G537" s="19">
        <v>2</v>
      </c>
      <c r="H537" s="20">
        <v>1800</v>
      </c>
      <c r="I537" s="24">
        <v>0</v>
      </c>
      <c r="J537" s="28">
        <f>Table2[[#This Row],[Quantity]]*Table2[[#This Row],[Unit_Price]]</f>
        <v>3600</v>
      </c>
      <c r="K537" s="31">
        <f t="shared" si="8"/>
        <v>3600</v>
      </c>
      <c r="L537" s="31">
        <f>Table2[[#This Row],[gross sales]]-Table2[[#This Row],[net sale]]</f>
        <v>0</v>
      </c>
      <c r="M537" s="37" t="str">
        <f>TEXT(B537,"mmm")</f>
        <v>Jun</v>
      </c>
    </row>
    <row r="538" spans="1:13">
      <c r="A538" s="16">
        <v>1537</v>
      </c>
      <c r="B538" s="15">
        <v>45666</v>
      </c>
      <c r="C538" s="16" t="s">
        <v>9</v>
      </c>
      <c r="D538" s="16" t="s">
        <v>10</v>
      </c>
      <c r="E538" s="16" t="s">
        <v>22</v>
      </c>
      <c r="F538" s="16" t="s">
        <v>18</v>
      </c>
      <c r="G538" s="16">
        <v>6</v>
      </c>
      <c r="H538" s="17">
        <v>18000</v>
      </c>
      <c r="I538" s="23">
        <v>0.1</v>
      </c>
      <c r="J538" s="28">
        <f>Table2[[#This Row],[Quantity]]*Table2[[#This Row],[Unit_Price]]</f>
        <v>108000</v>
      </c>
      <c r="K538" s="31">
        <f t="shared" si="8"/>
        <v>97200</v>
      </c>
      <c r="L538" s="31">
        <f>Table2[[#This Row],[gross sales]]-Table2[[#This Row],[net sale]]</f>
        <v>10800</v>
      </c>
      <c r="M538" s="36" t="str">
        <f>TEXT(B538,"mmm")</f>
        <v>Jan</v>
      </c>
    </row>
    <row r="539" spans="1:13">
      <c r="A539" s="19">
        <v>1538</v>
      </c>
      <c r="B539" s="18">
        <v>45877</v>
      </c>
      <c r="C539" s="19" t="s">
        <v>19</v>
      </c>
      <c r="D539" s="19" t="s">
        <v>10</v>
      </c>
      <c r="E539" s="19" t="s">
        <v>11</v>
      </c>
      <c r="F539" s="19" t="s">
        <v>32</v>
      </c>
      <c r="G539" s="19">
        <v>5</v>
      </c>
      <c r="H539" s="19">
        <v>800</v>
      </c>
      <c r="I539" s="24">
        <v>0.15</v>
      </c>
      <c r="J539" s="28">
        <f>Table2[[#This Row],[Quantity]]*Table2[[#This Row],[Unit_Price]]</f>
        <v>4000</v>
      </c>
      <c r="K539" s="31">
        <f t="shared" si="8"/>
        <v>3400</v>
      </c>
      <c r="L539" s="31">
        <f>Table2[[#This Row],[gross sales]]-Table2[[#This Row],[net sale]]</f>
        <v>600</v>
      </c>
      <c r="M539" s="37" t="str">
        <f>TEXT(B539,"mmm")</f>
        <v>Aug</v>
      </c>
    </row>
    <row r="540" spans="1:13">
      <c r="A540" s="16">
        <v>1539</v>
      </c>
      <c r="B540" s="15">
        <v>45798</v>
      </c>
      <c r="C540" s="16" t="s">
        <v>9</v>
      </c>
      <c r="D540" s="16" t="s">
        <v>10</v>
      </c>
      <c r="E540" s="16" t="s">
        <v>14</v>
      </c>
      <c r="F540" s="16" t="s">
        <v>23</v>
      </c>
      <c r="G540" s="16">
        <v>12</v>
      </c>
      <c r="H540" s="17">
        <v>18000</v>
      </c>
      <c r="I540" s="23">
        <v>0.08</v>
      </c>
      <c r="J540" s="28">
        <f>Table2[[#This Row],[Quantity]]*Table2[[#This Row],[Unit_Price]]</f>
        <v>216000</v>
      </c>
      <c r="K540" s="31">
        <f t="shared" si="8"/>
        <v>198720</v>
      </c>
      <c r="L540" s="31">
        <f>Table2[[#This Row],[gross sales]]-Table2[[#This Row],[net sale]]</f>
        <v>17280</v>
      </c>
      <c r="M540" s="36" t="str">
        <f>TEXT(B540,"mmm")</f>
        <v>May</v>
      </c>
    </row>
    <row r="541" spans="1:13">
      <c r="A541" s="19">
        <v>1540</v>
      </c>
      <c r="B541" s="18">
        <v>45998</v>
      </c>
      <c r="C541" s="19" t="s">
        <v>37</v>
      </c>
      <c r="D541" s="19" t="s">
        <v>36</v>
      </c>
      <c r="E541" s="19" t="s">
        <v>22</v>
      </c>
      <c r="F541" s="19" t="s">
        <v>27</v>
      </c>
      <c r="G541" s="19">
        <v>6</v>
      </c>
      <c r="H541" s="20">
        <v>1800</v>
      </c>
      <c r="I541" s="24">
        <v>0</v>
      </c>
      <c r="J541" s="28">
        <f>Table2[[#This Row],[Quantity]]*Table2[[#This Row],[Unit_Price]]</f>
        <v>10800</v>
      </c>
      <c r="K541" s="31">
        <f t="shared" si="8"/>
        <v>10800</v>
      </c>
      <c r="L541" s="31">
        <f>Table2[[#This Row],[gross sales]]-Table2[[#This Row],[net sale]]</f>
        <v>0</v>
      </c>
      <c r="M541" s="37" t="str">
        <f>TEXT(B541,"mmm")</f>
        <v>Dec</v>
      </c>
    </row>
    <row r="542" spans="1:13">
      <c r="A542" s="16">
        <v>1541</v>
      </c>
      <c r="B542" s="15">
        <v>46016</v>
      </c>
      <c r="C542" s="16" t="s">
        <v>35</v>
      </c>
      <c r="D542" s="16" t="s">
        <v>36</v>
      </c>
      <c r="E542" s="16" t="s">
        <v>14</v>
      </c>
      <c r="F542" s="16" t="s">
        <v>24</v>
      </c>
      <c r="G542" s="16">
        <v>8</v>
      </c>
      <c r="H542" s="17">
        <v>3500</v>
      </c>
      <c r="I542" s="23">
        <v>0.1</v>
      </c>
      <c r="J542" s="28">
        <f>Table2[[#This Row],[Quantity]]*Table2[[#This Row],[Unit_Price]]</f>
        <v>28000</v>
      </c>
      <c r="K542" s="31">
        <f t="shared" si="8"/>
        <v>25200</v>
      </c>
      <c r="L542" s="31">
        <f>Table2[[#This Row],[gross sales]]-Table2[[#This Row],[net sale]]</f>
        <v>2800</v>
      </c>
      <c r="M542" s="36" t="str">
        <f>TEXT(B542,"mmm")</f>
        <v>Dec</v>
      </c>
    </row>
    <row r="543" spans="1:13">
      <c r="A543" s="19">
        <v>1542</v>
      </c>
      <c r="B543" s="18">
        <v>45658</v>
      </c>
      <c r="C543" s="19" t="s">
        <v>19</v>
      </c>
      <c r="D543" s="19" t="s">
        <v>10</v>
      </c>
      <c r="E543" s="19" t="s">
        <v>17</v>
      </c>
      <c r="F543" s="19" t="s">
        <v>12</v>
      </c>
      <c r="G543" s="19">
        <v>16</v>
      </c>
      <c r="H543" s="19">
        <v>800</v>
      </c>
      <c r="I543" s="24">
        <v>0</v>
      </c>
      <c r="J543" s="28">
        <f>Table2[[#This Row],[Quantity]]*Table2[[#This Row],[Unit_Price]]</f>
        <v>12800</v>
      </c>
      <c r="K543" s="31">
        <f t="shared" si="8"/>
        <v>12800</v>
      </c>
      <c r="L543" s="31">
        <f>Table2[[#This Row],[gross sales]]-Table2[[#This Row],[net sale]]</f>
        <v>0</v>
      </c>
      <c r="M543" s="37" t="str">
        <f>TEXT(B543,"mmm")</f>
        <v>Jan</v>
      </c>
    </row>
    <row r="544" spans="1:13">
      <c r="A544" s="16">
        <v>1543</v>
      </c>
      <c r="B544" s="15">
        <v>45923</v>
      </c>
      <c r="C544" s="16" t="s">
        <v>29</v>
      </c>
      <c r="D544" s="16" t="s">
        <v>30</v>
      </c>
      <c r="E544" s="16" t="s">
        <v>14</v>
      </c>
      <c r="F544" s="16" t="s">
        <v>23</v>
      </c>
      <c r="G544" s="16">
        <v>15</v>
      </c>
      <c r="H544" s="16">
        <v>250</v>
      </c>
      <c r="I544" s="23">
        <v>0</v>
      </c>
      <c r="J544" s="28">
        <f>Table2[[#This Row],[Quantity]]*Table2[[#This Row],[Unit_Price]]</f>
        <v>3750</v>
      </c>
      <c r="K544" s="31">
        <f t="shared" si="8"/>
        <v>3750</v>
      </c>
      <c r="L544" s="31">
        <f>Table2[[#This Row],[gross sales]]-Table2[[#This Row],[net sale]]</f>
        <v>0</v>
      </c>
      <c r="M544" s="36" t="str">
        <f>TEXT(B544,"mmm")</f>
        <v>Sep</v>
      </c>
    </row>
    <row r="545" spans="1:13">
      <c r="A545" s="19">
        <v>1544</v>
      </c>
      <c r="B545" s="18">
        <v>45719</v>
      </c>
      <c r="C545" s="19" t="s">
        <v>38</v>
      </c>
      <c r="D545" s="19" t="s">
        <v>10</v>
      </c>
      <c r="E545" s="19" t="s">
        <v>17</v>
      </c>
      <c r="F545" s="19" t="s">
        <v>20</v>
      </c>
      <c r="G545" s="19">
        <v>14</v>
      </c>
      <c r="H545" s="20">
        <v>42000</v>
      </c>
      <c r="I545" s="24">
        <v>0.15</v>
      </c>
      <c r="J545" s="28">
        <f>Table2[[#This Row],[Quantity]]*Table2[[#This Row],[Unit_Price]]</f>
        <v>588000</v>
      </c>
      <c r="K545" s="31">
        <f t="shared" si="8"/>
        <v>499800</v>
      </c>
      <c r="L545" s="31">
        <f>Table2[[#This Row],[gross sales]]-Table2[[#This Row],[net sale]]</f>
        <v>88200</v>
      </c>
      <c r="M545" s="37" t="str">
        <f>TEXT(B545,"mmm")</f>
        <v>Mar</v>
      </c>
    </row>
    <row r="546" spans="1:13">
      <c r="A546" s="16">
        <v>1545</v>
      </c>
      <c r="B546" s="15">
        <v>45694</v>
      </c>
      <c r="C546" s="16" t="s">
        <v>19</v>
      </c>
      <c r="D546" s="16" t="s">
        <v>10</v>
      </c>
      <c r="E546" s="16" t="s">
        <v>14</v>
      </c>
      <c r="F546" s="16" t="s">
        <v>24</v>
      </c>
      <c r="G546" s="16">
        <v>13</v>
      </c>
      <c r="H546" s="16">
        <v>800</v>
      </c>
      <c r="I546" s="23">
        <v>0</v>
      </c>
      <c r="J546" s="28">
        <f>Table2[[#This Row],[Quantity]]*Table2[[#This Row],[Unit_Price]]</f>
        <v>10400</v>
      </c>
      <c r="K546" s="31">
        <f t="shared" si="8"/>
        <v>10400</v>
      </c>
      <c r="L546" s="31">
        <f>Table2[[#This Row],[gross sales]]-Table2[[#This Row],[net sale]]</f>
        <v>0</v>
      </c>
      <c r="M546" s="36" t="str">
        <f>TEXT(B546,"mmm")</f>
        <v>Feb</v>
      </c>
    </row>
    <row r="547" spans="1:13">
      <c r="A547" s="19">
        <v>1546</v>
      </c>
      <c r="B547" s="18">
        <v>45818</v>
      </c>
      <c r="C547" s="19" t="s">
        <v>33</v>
      </c>
      <c r="D547" s="19" t="s">
        <v>10</v>
      </c>
      <c r="E547" s="19" t="s">
        <v>22</v>
      </c>
      <c r="F547" s="19" t="s">
        <v>32</v>
      </c>
      <c r="G547" s="19">
        <v>10</v>
      </c>
      <c r="H547" s="20">
        <v>2500</v>
      </c>
      <c r="I547" s="24">
        <v>0.05</v>
      </c>
      <c r="J547" s="28">
        <f>Table2[[#This Row],[Quantity]]*Table2[[#This Row],[Unit_Price]]</f>
        <v>25000</v>
      </c>
      <c r="K547" s="31">
        <f t="shared" si="8"/>
        <v>23750</v>
      </c>
      <c r="L547" s="31">
        <f>Table2[[#This Row],[gross sales]]-Table2[[#This Row],[net sale]]</f>
        <v>1250</v>
      </c>
      <c r="M547" s="37" t="str">
        <f>TEXT(B547,"mmm")</f>
        <v>Jun</v>
      </c>
    </row>
    <row r="548" spans="1:13">
      <c r="A548" s="16">
        <v>1547</v>
      </c>
      <c r="B548" s="15">
        <v>45986</v>
      </c>
      <c r="C548" s="16" t="s">
        <v>29</v>
      </c>
      <c r="D548" s="16" t="s">
        <v>30</v>
      </c>
      <c r="E548" s="16" t="s">
        <v>14</v>
      </c>
      <c r="F548" s="16" t="s">
        <v>32</v>
      </c>
      <c r="G548" s="16">
        <v>5</v>
      </c>
      <c r="H548" s="16">
        <v>250</v>
      </c>
      <c r="I548" s="23">
        <v>0</v>
      </c>
      <c r="J548" s="28">
        <f>Table2[[#This Row],[Quantity]]*Table2[[#This Row],[Unit_Price]]</f>
        <v>1250</v>
      </c>
      <c r="K548" s="31">
        <f t="shared" si="8"/>
        <v>1250</v>
      </c>
      <c r="L548" s="31">
        <f>Table2[[#This Row],[gross sales]]-Table2[[#This Row],[net sale]]</f>
        <v>0</v>
      </c>
      <c r="M548" s="36" t="str">
        <f>TEXT(B548,"mmm")</f>
        <v>Nov</v>
      </c>
    </row>
    <row r="549" spans="1:13">
      <c r="A549" s="19">
        <v>1548</v>
      </c>
      <c r="B549" s="18">
        <v>45883</v>
      </c>
      <c r="C549" s="19" t="s">
        <v>33</v>
      </c>
      <c r="D549" s="19" t="s">
        <v>10</v>
      </c>
      <c r="E549" s="19" t="s">
        <v>17</v>
      </c>
      <c r="F549" s="19" t="s">
        <v>15</v>
      </c>
      <c r="G549" s="19">
        <v>7</v>
      </c>
      <c r="H549" s="20">
        <v>2500</v>
      </c>
      <c r="I549" s="24">
        <v>0.15</v>
      </c>
      <c r="J549" s="28">
        <f>Table2[[#This Row],[Quantity]]*Table2[[#This Row],[Unit_Price]]</f>
        <v>17500</v>
      </c>
      <c r="K549" s="31">
        <f t="shared" si="8"/>
        <v>14875</v>
      </c>
      <c r="L549" s="31">
        <f>Table2[[#This Row],[gross sales]]-Table2[[#This Row],[net sale]]</f>
        <v>2625</v>
      </c>
      <c r="M549" s="37" t="str">
        <f>TEXT(B549,"mmm")</f>
        <v>Aug</v>
      </c>
    </row>
    <row r="550" spans="1:13">
      <c r="A550" s="16">
        <v>1549</v>
      </c>
      <c r="B550" s="15">
        <v>45973</v>
      </c>
      <c r="C550" s="16" t="s">
        <v>29</v>
      </c>
      <c r="D550" s="16" t="s">
        <v>30</v>
      </c>
      <c r="E550" s="16" t="s">
        <v>14</v>
      </c>
      <c r="F550" s="16" t="s">
        <v>24</v>
      </c>
      <c r="G550" s="16">
        <v>15</v>
      </c>
      <c r="H550" s="16">
        <v>250</v>
      </c>
      <c r="I550" s="23">
        <v>0.05</v>
      </c>
      <c r="J550" s="28">
        <f>Table2[[#This Row],[Quantity]]*Table2[[#This Row],[Unit_Price]]</f>
        <v>3750</v>
      </c>
      <c r="K550" s="31">
        <f t="shared" si="8"/>
        <v>3562.5</v>
      </c>
      <c r="L550" s="31">
        <f>Table2[[#This Row],[gross sales]]-Table2[[#This Row],[net sale]]</f>
        <v>187.5</v>
      </c>
      <c r="M550" s="36" t="str">
        <f>TEXT(B550,"mmm")</f>
        <v>Nov</v>
      </c>
    </row>
    <row r="551" spans="1:13">
      <c r="A551" s="19">
        <v>1550</v>
      </c>
      <c r="B551" s="18">
        <v>45729</v>
      </c>
      <c r="C551" s="19" t="s">
        <v>35</v>
      </c>
      <c r="D551" s="19" t="s">
        <v>36</v>
      </c>
      <c r="E551" s="19" t="s">
        <v>22</v>
      </c>
      <c r="F551" s="19" t="s">
        <v>23</v>
      </c>
      <c r="G551" s="19">
        <v>4</v>
      </c>
      <c r="H551" s="20">
        <v>3500</v>
      </c>
      <c r="I551" s="24">
        <v>0.12</v>
      </c>
      <c r="J551" s="28">
        <f>Table2[[#This Row],[Quantity]]*Table2[[#This Row],[Unit_Price]]</f>
        <v>14000</v>
      </c>
      <c r="K551" s="31">
        <f t="shared" si="8"/>
        <v>12320</v>
      </c>
      <c r="L551" s="31">
        <f>Table2[[#This Row],[gross sales]]-Table2[[#This Row],[net sale]]</f>
        <v>1680</v>
      </c>
      <c r="M551" s="37" t="str">
        <f>TEXT(B551,"mmm")</f>
        <v>Mar</v>
      </c>
    </row>
    <row r="552" spans="1:13">
      <c r="A552" s="16">
        <v>1551</v>
      </c>
      <c r="B552" s="15">
        <v>45877</v>
      </c>
      <c r="C552" s="16" t="s">
        <v>33</v>
      </c>
      <c r="D552" s="16" t="s">
        <v>10</v>
      </c>
      <c r="E552" s="16" t="s">
        <v>11</v>
      </c>
      <c r="F552" s="16" t="s">
        <v>24</v>
      </c>
      <c r="G552" s="16">
        <v>5</v>
      </c>
      <c r="H552" s="17">
        <v>2500</v>
      </c>
      <c r="I552" s="23">
        <v>0.05</v>
      </c>
      <c r="J552" s="28">
        <f>Table2[[#This Row],[Quantity]]*Table2[[#This Row],[Unit_Price]]</f>
        <v>12500</v>
      </c>
      <c r="K552" s="31">
        <f t="shared" si="8"/>
        <v>11875</v>
      </c>
      <c r="L552" s="31">
        <f>Table2[[#This Row],[gross sales]]-Table2[[#This Row],[net sale]]</f>
        <v>625</v>
      </c>
      <c r="M552" s="36" t="str">
        <f>TEXT(B552,"mmm")</f>
        <v>Aug</v>
      </c>
    </row>
    <row r="553" spans="1:13">
      <c r="A553" s="19">
        <v>1552</v>
      </c>
      <c r="B553" s="18">
        <v>45785</v>
      </c>
      <c r="C553" s="19" t="s">
        <v>25</v>
      </c>
      <c r="D553" s="19" t="s">
        <v>26</v>
      </c>
      <c r="E553" s="19" t="s">
        <v>11</v>
      </c>
      <c r="F553" s="19" t="s">
        <v>18</v>
      </c>
      <c r="G553" s="19">
        <v>20</v>
      </c>
      <c r="H553" s="20">
        <v>11000</v>
      </c>
      <c r="I553" s="24">
        <v>0.12</v>
      </c>
      <c r="J553" s="28">
        <f>Table2[[#This Row],[Quantity]]*Table2[[#This Row],[Unit_Price]]</f>
        <v>220000</v>
      </c>
      <c r="K553" s="31">
        <f t="shared" si="8"/>
        <v>193600</v>
      </c>
      <c r="L553" s="31">
        <f>Table2[[#This Row],[gross sales]]-Table2[[#This Row],[net sale]]</f>
        <v>26400</v>
      </c>
      <c r="M553" s="37" t="str">
        <f>TEXT(B553,"mmm")</f>
        <v>May</v>
      </c>
    </row>
    <row r="554" spans="1:13">
      <c r="A554" s="16">
        <v>1553</v>
      </c>
      <c r="B554" s="15">
        <v>45995</v>
      </c>
      <c r="C554" s="16" t="s">
        <v>37</v>
      </c>
      <c r="D554" s="16" t="s">
        <v>36</v>
      </c>
      <c r="E554" s="16" t="s">
        <v>17</v>
      </c>
      <c r="F554" s="16" t="s">
        <v>15</v>
      </c>
      <c r="G554" s="16">
        <v>10</v>
      </c>
      <c r="H554" s="17">
        <v>1800</v>
      </c>
      <c r="I554" s="23">
        <v>0.05</v>
      </c>
      <c r="J554" s="28">
        <f>Table2[[#This Row],[Quantity]]*Table2[[#This Row],[Unit_Price]]</f>
        <v>18000</v>
      </c>
      <c r="K554" s="31">
        <f t="shared" si="8"/>
        <v>17100</v>
      </c>
      <c r="L554" s="31">
        <f>Table2[[#This Row],[gross sales]]-Table2[[#This Row],[net sale]]</f>
        <v>900</v>
      </c>
      <c r="M554" s="36" t="str">
        <f>TEXT(B554,"mmm")</f>
        <v>Dec</v>
      </c>
    </row>
    <row r="555" spans="1:13">
      <c r="A555" s="19">
        <v>1554</v>
      </c>
      <c r="B555" s="18">
        <v>45809</v>
      </c>
      <c r="C555" s="19" t="s">
        <v>29</v>
      </c>
      <c r="D555" s="19" t="s">
        <v>30</v>
      </c>
      <c r="E555" s="19" t="s">
        <v>22</v>
      </c>
      <c r="F555" s="19" t="s">
        <v>15</v>
      </c>
      <c r="G555" s="19">
        <v>2</v>
      </c>
      <c r="H555" s="19">
        <v>250</v>
      </c>
      <c r="I555" s="24">
        <v>0.05</v>
      </c>
      <c r="J555" s="28">
        <f>Table2[[#This Row],[Quantity]]*Table2[[#This Row],[Unit_Price]]</f>
        <v>500</v>
      </c>
      <c r="K555" s="31">
        <f t="shared" si="8"/>
        <v>475</v>
      </c>
      <c r="L555" s="31">
        <f>Table2[[#This Row],[gross sales]]-Table2[[#This Row],[net sale]]</f>
        <v>25</v>
      </c>
      <c r="M555" s="37" t="str">
        <f>TEXT(B555,"mmm")</f>
        <v>Jun</v>
      </c>
    </row>
    <row r="556" spans="1:13">
      <c r="A556" s="16">
        <v>1555</v>
      </c>
      <c r="B556" s="15">
        <v>45715</v>
      </c>
      <c r="C556" s="16" t="s">
        <v>19</v>
      </c>
      <c r="D556" s="16" t="s">
        <v>10</v>
      </c>
      <c r="E556" s="16" t="s">
        <v>14</v>
      </c>
      <c r="F556" s="16" t="s">
        <v>18</v>
      </c>
      <c r="G556" s="16">
        <v>16</v>
      </c>
      <c r="H556" s="16">
        <v>800</v>
      </c>
      <c r="I556" s="23">
        <v>0.15</v>
      </c>
      <c r="J556" s="28">
        <f>Table2[[#This Row],[Quantity]]*Table2[[#This Row],[Unit_Price]]</f>
        <v>12800</v>
      </c>
      <c r="K556" s="31">
        <f t="shared" si="8"/>
        <v>10880</v>
      </c>
      <c r="L556" s="31">
        <f>Table2[[#This Row],[gross sales]]-Table2[[#This Row],[net sale]]</f>
        <v>1920</v>
      </c>
      <c r="M556" s="36" t="str">
        <f>TEXT(B556,"mmm")</f>
        <v>Feb</v>
      </c>
    </row>
    <row r="557" spans="1:13">
      <c r="A557" s="19">
        <v>1556</v>
      </c>
      <c r="B557" s="18">
        <v>45842</v>
      </c>
      <c r="C557" s="19" t="s">
        <v>37</v>
      </c>
      <c r="D557" s="19" t="s">
        <v>36</v>
      </c>
      <c r="E557" s="19" t="s">
        <v>22</v>
      </c>
      <c r="F557" s="19" t="s">
        <v>15</v>
      </c>
      <c r="G557" s="19">
        <v>11</v>
      </c>
      <c r="H557" s="20">
        <v>1800</v>
      </c>
      <c r="I557" s="24">
        <v>0.05</v>
      </c>
      <c r="J557" s="28">
        <f>Table2[[#This Row],[Quantity]]*Table2[[#This Row],[Unit_Price]]</f>
        <v>19800</v>
      </c>
      <c r="K557" s="31">
        <f t="shared" si="8"/>
        <v>18810</v>
      </c>
      <c r="L557" s="31">
        <f>Table2[[#This Row],[gross sales]]-Table2[[#This Row],[net sale]]</f>
        <v>990</v>
      </c>
      <c r="M557" s="37" t="str">
        <f>TEXT(B557,"mmm")</f>
        <v>Jul</v>
      </c>
    </row>
    <row r="558" spans="1:13">
      <c r="A558" s="16">
        <v>1557</v>
      </c>
      <c r="B558" s="15">
        <v>45845</v>
      </c>
      <c r="C558" s="16" t="s">
        <v>25</v>
      </c>
      <c r="D558" s="16" t="s">
        <v>26</v>
      </c>
      <c r="E558" s="16" t="s">
        <v>14</v>
      </c>
      <c r="F558" s="16" t="s">
        <v>18</v>
      </c>
      <c r="G558" s="16">
        <v>6</v>
      </c>
      <c r="H558" s="17">
        <v>11000</v>
      </c>
      <c r="I558" s="23">
        <v>0.1</v>
      </c>
      <c r="J558" s="28">
        <f>Table2[[#This Row],[Quantity]]*Table2[[#This Row],[Unit_Price]]</f>
        <v>66000</v>
      </c>
      <c r="K558" s="31">
        <f t="shared" si="8"/>
        <v>59400</v>
      </c>
      <c r="L558" s="31">
        <f>Table2[[#This Row],[gross sales]]-Table2[[#This Row],[net sale]]</f>
        <v>6600</v>
      </c>
      <c r="M558" s="36" t="str">
        <f>TEXT(B558,"mmm")</f>
        <v>Jul</v>
      </c>
    </row>
    <row r="559" spans="1:13">
      <c r="A559" s="19">
        <v>1558</v>
      </c>
      <c r="B559" s="18">
        <v>45958</v>
      </c>
      <c r="C559" s="19" t="s">
        <v>9</v>
      </c>
      <c r="D559" s="19" t="s">
        <v>10</v>
      </c>
      <c r="E559" s="19" t="s">
        <v>17</v>
      </c>
      <c r="F559" s="19" t="s">
        <v>18</v>
      </c>
      <c r="G559" s="19">
        <v>1</v>
      </c>
      <c r="H559" s="20">
        <v>18000</v>
      </c>
      <c r="I559" s="24">
        <v>0.08</v>
      </c>
      <c r="J559" s="28">
        <f>Table2[[#This Row],[Quantity]]*Table2[[#This Row],[Unit_Price]]</f>
        <v>18000</v>
      </c>
      <c r="K559" s="31">
        <f t="shared" si="8"/>
        <v>16560</v>
      </c>
      <c r="L559" s="31">
        <f>Table2[[#This Row],[gross sales]]-Table2[[#This Row],[net sale]]</f>
        <v>1440</v>
      </c>
      <c r="M559" s="37" t="str">
        <f>TEXT(B559,"mmm")</f>
        <v>Oct</v>
      </c>
    </row>
    <row r="560" spans="1:13">
      <c r="A560" s="16">
        <v>1559</v>
      </c>
      <c r="B560" s="15">
        <v>45688</v>
      </c>
      <c r="C560" s="16" t="s">
        <v>35</v>
      </c>
      <c r="D560" s="16" t="s">
        <v>36</v>
      </c>
      <c r="E560" s="16" t="s">
        <v>11</v>
      </c>
      <c r="F560" s="16" t="s">
        <v>15</v>
      </c>
      <c r="G560" s="16">
        <v>13</v>
      </c>
      <c r="H560" s="17">
        <v>3500</v>
      </c>
      <c r="I560" s="23">
        <v>0.12</v>
      </c>
      <c r="J560" s="28">
        <f>Table2[[#This Row],[Quantity]]*Table2[[#This Row],[Unit_Price]]</f>
        <v>45500</v>
      </c>
      <c r="K560" s="31">
        <f t="shared" si="8"/>
        <v>40040</v>
      </c>
      <c r="L560" s="31">
        <f>Table2[[#This Row],[gross sales]]-Table2[[#This Row],[net sale]]</f>
        <v>5460</v>
      </c>
      <c r="M560" s="36" t="str">
        <f>TEXT(B560,"mmm")</f>
        <v>Jan</v>
      </c>
    </row>
    <row r="561" spans="1:13">
      <c r="A561" s="19">
        <v>1560</v>
      </c>
      <c r="B561" s="18">
        <v>45874</v>
      </c>
      <c r="C561" s="19" t="s">
        <v>39</v>
      </c>
      <c r="D561" s="19" t="s">
        <v>30</v>
      </c>
      <c r="E561" s="19" t="s">
        <v>17</v>
      </c>
      <c r="F561" s="19" t="s">
        <v>27</v>
      </c>
      <c r="G561" s="19">
        <v>13</v>
      </c>
      <c r="H561" s="19">
        <v>180</v>
      </c>
      <c r="I561" s="24">
        <v>0</v>
      </c>
      <c r="J561" s="28">
        <f>Table2[[#This Row],[Quantity]]*Table2[[#This Row],[Unit_Price]]</f>
        <v>2340</v>
      </c>
      <c r="K561" s="31">
        <f t="shared" si="8"/>
        <v>2340</v>
      </c>
      <c r="L561" s="31">
        <f>Table2[[#This Row],[gross sales]]-Table2[[#This Row],[net sale]]</f>
        <v>0</v>
      </c>
      <c r="M561" s="37" t="str">
        <f>TEXT(B561,"mmm")</f>
        <v>Aug</v>
      </c>
    </row>
    <row r="562" spans="1:13">
      <c r="A562" s="16">
        <v>1561</v>
      </c>
      <c r="B562" s="15">
        <v>45700</v>
      </c>
      <c r="C562" s="16" t="s">
        <v>21</v>
      </c>
      <c r="D562" s="16" t="s">
        <v>10</v>
      </c>
      <c r="E562" s="16" t="s">
        <v>17</v>
      </c>
      <c r="F562" s="16" t="s">
        <v>32</v>
      </c>
      <c r="G562" s="16">
        <v>3</v>
      </c>
      <c r="H562" s="17">
        <v>14000</v>
      </c>
      <c r="I562" s="23">
        <v>0.12</v>
      </c>
      <c r="J562" s="28">
        <f>Table2[[#This Row],[Quantity]]*Table2[[#This Row],[Unit_Price]]</f>
        <v>42000</v>
      </c>
      <c r="K562" s="31">
        <f t="shared" si="8"/>
        <v>36960</v>
      </c>
      <c r="L562" s="31">
        <f>Table2[[#This Row],[gross sales]]-Table2[[#This Row],[net sale]]</f>
        <v>5040</v>
      </c>
      <c r="M562" s="36" t="str">
        <f>TEXT(B562,"mmm")</f>
        <v>Feb</v>
      </c>
    </row>
    <row r="563" spans="1:13">
      <c r="A563" s="19">
        <v>1562</v>
      </c>
      <c r="B563" s="18">
        <v>45932</v>
      </c>
      <c r="C563" s="19" t="s">
        <v>33</v>
      </c>
      <c r="D563" s="19" t="s">
        <v>10</v>
      </c>
      <c r="E563" s="19" t="s">
        <v>14</v>
      </c>
      <c r="F563" s="19" t="s">
        <v>27</v>
      </c>
      <c r="G563" s="19">
        <v>13</v>
      </c>
      <c r="H563" s="20">
        <v>2500</v>
      </c>
      <c r="I563" s="24">
        <v>0.12</v>
      </c>
      <c r="J563" s="28">
        <f>Table2[[#This Row],[Quantity]]*Table2[[#This Row],[Unit_Price]]</f>
        <v>32500</v>
      </c>
      <c r="K563" s="31">
        <f t="shared" si="8"/>
        <v>28600</v>
      </c>
      <c r="L563" s="31">
        <f>Table2[[#This Row],[gross sales]]-Table2[[#This Row],[net sale]]</f>
        <v>3900</v>
      </c>
      <c r="M563" s="37" t="str">
        <f>TEXT(B563,"mmm")</f>
        <v>Oct</v>
      </c>
    </row>
    <row r="564" spans="1:13">
      <c r="A564" s="16">
        <v>1563</v>
      </c>
      <c r="B564" s="15">
        <v>46015</v>
      </c>
      <c r="C564" s="16" t="s">
        <v>31</v>
      </c>
      <c r="D564" s="16" t="s">
        <v>26</v>
      </c>
      <c r="E564" s="16" t="s">
        <v>17</v>
      </c>
      <c r="F564" s="16" t="s">
        <v>24</v>
      </c>
      <c r="G564" s="16">
        <v>8</v>
      </c>
      <c r="H564" s="17">
        <v>8500</v>
      </c>
      <c r="I564" s="23">
        <v>0</v>
      </c>
      <c r="J564" s="28">
        <f>Table2[[#This Row],[Quantity]]*Table2[[#This Row],[Unit_Price]]</f>
        <v>68000</v>
      </c>
      <c r="K564" s="31">
        <f t="shared" si="8"/>
        <v>68000</v>
      </c>
      <c r="L564" s="31">
        <f>Table2[[#This Row],[gross sales]]-Table2[[#This Row],[net sale]]</f>
        <v>0</v>
      </c>
      <c r="M564" s="36" t="str">
        <f>TEXT(B564,"mmm")</f>
        <v>Dec</v>
      </c>
    </row>
    <row r="565" spans="1:13">
      <c r="A565" s="19">
        <v>1564</v>
      </c>
      <c r="B565" s="18">
        <v>45880</v>
      </c>
      <c r="C565" s="19" t="s">
        <v>9</v>
      </c>
      <c r="D565" s="19" t="s">
        <v>10</v>
      </c>
      <c r="E565" s="19" t="s">
        <v>14</v>
      </c>
      <c r="F565" s="19" t="s">
        <v>27</v>
      </c>
      <c r="G565" s="19">
        <v>15</v>
      </c>
      <c r="H565" s="20">
        <v>18000</v>
      </c>
      <c r="I565" s="24">
        <v>0.12</v>
      </c>
      <c r="J565" s="28">
        <f>Table2[[#This Row],[Quantity]]*Table2[[#This Row],[Unit_Price]]</f>
        <v>270000</v>
      </c>
      <c r="K565" s="31">
        <f t="shared" si="8"/>
        <v>237600</v>
      </c>
      <c r="L565" s="31">
        <f>Table2[[#This Row],[gross sales]]-Table2[[#This Row],[net sale]]</f>
        <v>32400</v>
      </c>
      <c r="M565" s="37" t="str">
        <f>TEXT(B565,"mmm")</f>
        <v>Aug</v>
      </c>
    </row>
    <row r="566" spans="1:13">
      <c r="A566" s="16">
        <v>1565</v>
      </c>
      <c r="B566" s="15">
        <v>45999</v>
      </c>
      <c r="C566" s="16" t="s">
        <v>39</v>
      </c>
      <c r="D566" s="16" t="s">
        <v>30</v>
      </c>
      <c r="E566" s="16" t="s">
        <v>14</v>
      </c>
      <c r="F566" s="16" t="s">
        <v>32</v>
      </c>
      <c r="G566" s="16">
        <v>6</v>
      </c>
      <c r="H566" s="16">
        <v>180</v>
      </c>
      <c r="I566" s="23">
        <v>0</v>
      </c>
      <c r="J566" s="28">
        <f>Table2[[#This Row],[Quantity]]*Table2[[#This Row],[Unit_Price]]</f>
        <v>1080</v>
      </c>
      <c r="K566" s="31">
        <f t="shared" si="8"/>
        <v>1080</v>
      </c>
      <c r="L566" s="31">
        <f>Table2[[#This Row],[gross sales]]-Table2[[#This Row],[net sale]]</f>
        <v>0</v>
      </c>
      <c r="M566" s="36" t="str">
        <f>TEXT(B566,"mmm")</f>
        <v>Dec</v>
      </c>
    </row>
    <row r="567" spans="1:13">
      <c r="A567" s="19">
        <v>1566</v>
      </c>
      <c r="B567" s="18">
        <v>46017</v>
      </c>
      <c r="C567" s="19" t="s">
        <v>16</v>
      </c>
      <c r="D567" s="19" t="s">
        <v>10</v>
      </c>
      <c r="E567" s="19" t="s">
        <v>11</v>
      </c>
      <c r="F567" s="19" t="s">
        <v>27</v>
      </c>
      <c r="G567" s="19">
        <v>6</v>
      </c>
      <c r="H567" s="20">
        <v>55000</v>
      </c>
      <c r="I567" s="24">
        <v>0.1</v>
      </c>
      <c r="J567" s="28">
        <f>Table2[[#This Row],[Quantity]]*Table2[[#This Row],[Unit_Price]]</f>
        <v>330000</v>
      </c>
      <c r="K567" s="31">
        <f t="shared" si="8"/>
        <v>297000</v>
      </c>
      <c r="L567" s="31">
        <f>Table2[[#This Row],[gross sales]]-Table2[[#This Row],[net sale]]</f>
        <v>33000</v>
      </c>
      <c r="M567" s="37" t="str">
        <f>TEXT(B567,"mmm")</f>
        <v>Dec</v>
      </c>
    </row>
    <row r="568" spans="1:13">
      <c r="A568" s="16">
        <v>1567</v>
      </c>
      <c r="B568" s="15">
        <v>45743</v>
      </c>
      <c r="C568" s="16" t="s">
        <v>33</v>
      </c>
      <c r="D568" s="16" t="s">
        <v>10</v>
      </c>
      <c r="E568" s="16" t="s">
        <v>11</v>
      </c>
      <c r="F568" s="16" t="s">
        <v>24</v>
      </c>
      <c r="G568" s="16">
        <v>5</v>
      </c>
      <c r="H568" s="17">
        <v>2500</v>
      </c>
      <c r="I568" s="23">
        <v>0.15</v>
      </c>
      <c r="J568" s="28">
        <f>Table2[[#This Row],[Quantity]]*Table2[[#This Row],[Unit_Price]]</f>
        <v>12500</v>
      </c>
      <c r="K568" s="31">
        <f t="shared" si="8"/>
        <v>10625</v>
      </c>
      <c r="L568" s="31">
        <f>Table2[[#This Row],[gross sales]]-Table2[[#This Row],[net sale]]</f>
        <v>1875</v>
      </c>
      <c r="M568" s="36" t="str">
        <f>TEXT(B568,"mmm")</f>
        <v>Mar</v>
      </c>
    </row>
    <row r="569" spans="1:13">
      <c r="A569" s="19">
        <v>1568</v>
      </c>
      <c r="B569" s="18">
        <v>45673</v>
      </c>
      <c r="C569" s="19" t="s">
        <v>33</v>
      </c>
      <c r="D569" s="19" t="s">
        <v>10</v>
      </c>
      <c r="E569" s="19" t="s">
        <v>14</v>
      </c>
      <c r="F569" s="19" t="s">
        <v>27</v>
      </c>
      <c r="G569" s="19">
        <v>14</v>
      </c>
      <c r="H569" s="20">
        <v>2500</v>
      </c>
      <c r="I569" s="24">
        <v>0.08</v>
      </c>
      <c r="J569" s="28">
        <f>Table2[[#This Row],[Quantity]]*Table2[[#This Row],[Unit_Price]]</f>
        <v>35000</v>
      </c>
      <c r="K569" s="31">
        <f t="shared" si="8"/>
        <v>32200</v>
      </c>
      <c r="L569" s="31">
        <f>Table2[[#This Row],[gross sales]]-Table2[[#This Row],[net sale]]</f>
        <v>2800</v>
      </c>
      <c r="M569" s="37" t="str">
        <f>TEXT(B569,"mmm")</f>
        <v>Jan</v>
      </c>
    </row>
    <row r="570" spans="1:13">
      <c r="A570" s="16">
        <v>1569</v>
      </c>
      <c r="B570" s="15">
        <v>46022</v>
      </c>
      <c r="C570" s="16" t="s">
        <v>28</v>
      </c>
      <c r="D570" s="16" t="s">
        <v>26</v>
      </c>
      <c r="E570" s="16" t="s">
        <v>22</v>
      </c>
      <c r="F570" s="16" t="s">
        <v>23</v>
      </c>
      <c r="G570" s="16">
        <v>3</v>
      </c>
      <c r="H570" s="17">
        <v>9000</v>
      </c>
      <c r="I570" s="23">
        <v>0.1</v>
      </c>
      <c r="J570" s="28">
        <f>Table2[[#This Row],[Quantity]]*Table2[[#This Row],[Unit_Price]]</f>
        <v>27000</v>
      </c>
      <c r="K570" s="31">
        <f t="shared" si="8"/>
        <v>24300</v>
      </c>
      <c r="L570" s="31">
        <f>Table2[[#This Row],[gross sales]]-Table2[[#This Row],[net sale]]</f>
        <v>2700</v>
      </c>
      <c r="M570" s="36" t="str">
        <f>TEXT(B570,"mmm")</f>
        <v>Dec</v>
      </c>
    </row>
    <row r="571" spans="1:13">
      <c r="A571" s="19">
        <v>1570</v>
      </c>
      <c r="B571" s="18">
        <v>45686</v>
      </c>
      <c r="C571" s="19" t="s">
        <v>34</v>
      </c>
      <c r="D571" s="19" t="s">
        <v>26</v>
      </c>
      <c r="E571" s="19" t="s">
        <v>11</v>
      </c>
      <c r="F571" s="19" t="s">
        <v>32</v>
      </c>
      <c r="G571" s="19">
        <v>19</v>
      </c>
      <c r="H571" s="20">
        <v>15000</v>
      </c>
      <c r="I571" s="24">
        <v>0.05</v>
      </c>
      <c r="J571" s="28">
        <f>Table2[[#This Row],[Quantity]]*Table2[[#This Row],[Unit_Price]]</f>
        <v>285000</v>
      </c>
      <c r="K571" s="31">
        <f t="shared" si="8"/>
        <v>270750</v>
      </c>
      <c r="L571" s="31">
        <f>Table2[[#This Row],[gross sales]]-Table2[[#This Row],[net sale]]</f>
        <v>14250</v>
      </c>
      <c r="M571" s="37" t="str">
        <f>TEXT(B571,"mmm")</f>
        <v>Jan</v>
      </c>
    </row>
    <row r="572" spans="1:13">
      <c r="A572" s="16">
        <v>1571</v>
      </c>
      <c r="B572" s="15">
        <v>45788</v>
      </c>
      <c r="C572" s="16" t="s">
        <v>35</v>
      </c>
      <c r="D572" s="16" t="s">
        <v>36</v>
      </c>
      <c r="E572" s="16" t="s">
        <v>14</v>
      </c>
      <c r="F572" s="16" t="s">
        <v>12</v>
      </c>
      <c r="G572" s="16">
        <v>4</v>
      </c>
      <c r="H572" s="17">
        <v>3500</v>
      </c>
      <c r="I572" s="23">
        <v>0.12</v>
      </c>
      <c r="J572" s="28">
        <f>Table2[[#This Row],[Quantity]]*Table2[[#This Row],[Unit_Price]]</f>
        <v>14000</v>
      </c>
      <c r="K572" s="31">
        <f t="shared" si="8"/>
        <v>12320</v>
      </c>
      <c r="L572" s="31">
        <f>Table2[[#This Row],[gross sales]]-Table2[[#This Row],[net sale]]</f>
        <v>1680</v>
      </c>
      <c r="M572" s="36" t="str">
        <f>TEXT(B572,"mmm")</f>
        <v>May</v>
      </c>
    </row>
    <row r="573" spans="1:13">
      <c r="A573" s="19">
        <v>1572</v>
      </c>
      <c r="B573" s="18">
        <v>45918</v>
      </c>
      <c r="C573" s="19" t="s">
        <v>16</v>
      </c>
      <c r="D573" s="19" t="s">
        <v>10</v>
      </c>
      <c r="E573" s="19" t="s">
        <v>17</v>
      </c>
      <c r="F573" s="19" t="s">
        <v>18</v>
      </c>
      <c r="G573" s="19">
        <v>2</v>
      </c>
      <c r="H573" s="20">
        <v>55000</v>
      </c>
      <c r="I573" s="24">
        <v>0</v>
      </c>
      <c r="J573" s="28">
        <f>Table2[[#This Row],[Quantity]]*Table2[[#This Row],[Unit_Price]]</f>
        <v>110000</v>
      </c>
      <c r="K573" s="31">
        <f t="shared" si="8"/>
        <v>110000</v>
      </c>
      <c r="L573" s="31">
        <f>Table2[[#This Row],[gross sales]]-Table2[[#This Row],[net sale]]</f>
        <v>0</v>
      </c>
      <c r="M573" s="37" t="str">
        <f>TEXT(B573,"mmm")</f>
        <v>Sep</v>
      </c>
    </row>
    <row r="574" spans="1:13">
      <c r="A574" s="16">
        <v>1573</v>
      </c>
      <c r="B574" s="15">
        <v>45899</v>
      </c>
      <c r="C574" s="16" t="s">
        <v>33</v>
      </c>
      <c r="D574" s="16" t="s">
        <v>10</v>
      </c>
      <c r="E574" s="16" t="s">
        <v>17</v>
      </c>
      <c r="F574" s="16" t="s">
        <v>18</v>
      </c>
      <c r="G574" s="16">
        <v>13</v>
      </c>
      <c r="H574" s="17">
        <v>2500</v>
      </c>
      <c r="I574" s="23">
        <v>0.05</v>
      </c>
      <c r="J574" s="28">
        <f>Table2[[#This Row],[Quantity]]*Table2[[#This Row],[Unit_Price]]</f>
        <v>32500</v>
      </c>
      <c r="K574" s="31">
        <f t="shared" si="8"/>
        <v>30875</v>
      </c>
      <c r="L574" s="31">
        <f>Table2[[#This Row],[gross sales]]-Table2[[#This Row],[net sale]]</f>
        <v>1625</v>
      </c>
      <c r="M574" s="36" t="str">
        <f>TEXT(B574,"mmm")</f>
        <v>Aug</v>
      </c>
    </row>
    <row r="575" spans="1:13">
      <c r="A575" s="19">
        <v>1574</v>
      </c>
      <c r="B575" s="18">
        <v>45941</v>
      </c>
      <c r="C575" s="19" t="s">
        <v>35</v>
      </c>
      <c r="D575" s="19" t="s">
        <v>36</v>
      </c>
      <c r="E575" s="19" t="s">
        <v>11</v>
      </c>
      <c r="F575" s="19" t="s">
        <v>12</v>
      </c>
      <c r="G575" s="19">
        <v>14</v>
      </c>
      <c r="H575" s="20">
        <v>3500</v>
      </c>
      <c r="I575" s="24">
        <v>0.05</v>
      </c>
      <c r="J575" s="28">
        <f>Table2[[#This Row],[Quantity]]*Table2[[#This Row],[Unit_Price]]</f>
        <v>49000</v>
      </c>
      <c r="K575" s="31">
        <f t="shared" si="8"/>
        <v>46550</v>
      </c>
      <c r="L575" s="31">
        <f>Table2[[#This Row],[gross sales]]-Table2[[#This Row],[net sale]]</f>
        <v>2450</v>
      </c>
      <c r="M575" s="37" t="str">
        <f>TEXT(B575,"mmm")</f>
        <v>Oct</v>
      </c>
    </row>
    <row r="576" spans="1:13">
      <c r="A576" s="16">
        <v>1575</v>
      </c>
      <c r="B576" s="15">
        <v>45871</v>
      </c>
      <c r="C576" s="16" t="s">
        <v>37</v>
      </c>
      <c r="D576" s="16" t="s">
        <v>36</v>
      </c>
      <c r="E576" s="16" t="s">
        <v>14</v>
      </c>
      <c r="F576" s="16" t="s">
        <v>23</v>
      </c>
      <c r="G576" s="16">
        <v>11</v>
      </c>
      <c r="H576" s="17">
        <v>1800</v>
      </c>
      <c r="I576" s="23">
        <v>0.08</v>
      </c>
      <c r="J576" s="28">
        <f>Table2[[#This Row],[Quantity]]*Table2[[#This Row],[Unit_Price]]</f>
        <v>19800</v>
      </c>
      <c r="K576" s="31">
        <f t="shared" si="8"/>
        <v>18216</v>
      </c>
      <c r="L576" s="31">
        <f>Table2[[#This Row],[gross sales]]-Table2[[#This Row],[net sale]]</f>
        <v>1584</v>
      </c>
      <c r="M576" s="36" t="str">
        <f>TEXT(B576,"mmm")</f>
        <v>Aug</v>
      </c>
    </row>
    <row r="577" spans="1:13">
      <c r="A577" s="19">
        <v>1576</v>
      </c>
      <c r="B577" s="18">
        <v>45719</v>
      </c>
      <c r="C577" s="19" t="s">
        <v>25</v>
      </c>
      <c r="D577" s="19" t="s">
        <v>26</v>
      </c>
      <c r="E577" s="19" t="s">
        <v>17</v>
      </c>
      <c r="F577" s="19" t="s">
        <v>18</v>
      </c>
      <c r="G577" s="19">
        <v>2</v>
      </c>
      <c r="H577" s="20">
        <v>11000</v>
      </c>
      <c r="I577" s="24">
        <v>0.05</v>
      </c>
      <c r="J577" s="28">
        <f>Table2[[#This Row],[Quantity]]*Table2[[#This Row],[Unit_Price]]</f>
        <v>22000</v>
      </c>
      <c r="K577" s="31">
        <f t="shared" si="8"/>
        <v>20900</v>
      </c>
      <c r="L577" s="31">
        <f>Table2[[#This Row],[gross sales]]-Table2[[#This Row],[net sale]]</f>
        <v>1100</v>
      </c>
      <c r="M577" s="37" t="str">
        <f>TEXT(B577,"mmm")</f>
        <v>Mar</v>
      </c>
    </row>
    <row r="578" spans="1:13">
      <c r="A578" s="16">
        <v>1577</v>
      </c>
      <c r="B578" s="15">
        <v>45863</v>
      </c>
      <c r="C578" s="16" t="s">
        <v>9</v>
      </c>
      <c r="D578" s="16" t="s">
        <v>10</v>
      </c>
      <c r="E578" s="16" t="s">
        <v>11</v>
      </c>
      <c r="F578" s="16" t="s">
        <v>23</v>
      </c>
      <c r="G578" s="16">
        <v>15</v>
      </c>
      <c r="H578" s="17">
        <v>18000</v>
      </c>
      <c r="I578" s="23">
        <v>0.08</v>
      </c>
      <c r="J578" s="28">
        <f>Table2[[#This Row],[Quantity]]*Table2[[#This Row],[Unit_Price]]</f>
        <v>270000</v>
      </c>
      <c r="K578" s="31">
        <f t="shared" ref="K578:K641" si="9">J578*(1-I578)</f>
        <v>248400</v>
      </c>
      <c r="L578" s="31">
        <f>Table2[[#This Row],[gross sales]]-Table2[[#This Row],[net sale]]</f>
        <v>21600</v>
      </c>
      <c r="M578" s="36" t="str">
        <f>TEXT(B578,"mmm")</f>
        <v>Jul</v>
      </c>
    </row>
    <row r="579" spans="1:13">
      <c r="A579" s="19">
        <v>1578</v>
      </c>
      <c r="B579" s="18">
        <v>45702</v>
      </c>
      <c r="C579" s="19" t="s">
        <v>25</v>
      </c>
      <c r="D579" s="19" t="s">
        <v>26</v>
      </c>
      <c r="E579" s="19" t="s">
        <v>11</v>
      </c>
      <c r="F579" s="19" t="s">
        <v>12</v>
      </c>
      <c r="G579" s="19">
        <v>15</v>
      </c>
      <c r="H579" s="20">
        <v>11000</v>
      </c>
      <c r="I579" s="24">
        <v>0</v>
      </c>
      <c r="J579" s="28">
        <f>Table2[[#This Row],[Quantity]]*Table2[[#This Row],[Unit_Price]]</f>
        <v>165000</v>
      </c>
      <c r="K579" s="31">
        <f t="shared" si="9"/>
        <v>165000</v>
      </c>
      <c r="L579" s="31">
        <f>Table2[[#This Row],[gross sales]]-Table2[[#This Row],[net sale]]</f>
        <v>0</v>
      </c>
      <c r="M579" s="37" t="str">
        <f>TEXT(B579,"mmm")</f>
        <v>Feb</v>
      </c>
    </row>
    <row r="580" spans="1:13">
      <c r="A580" s="16">
        <v>1579</v>
      </c>
      <c r="B580" s="15">
        <v>45807</v>
      </c>
      <c r="C580" s="16" t="s">
        <v>28</v>
      </c>
      <c r="D580" s="16" t="s">
        <v>26</v>
      </c>
      <c r="E580" s="16" t="s">
        <v>17</v>
      </c>
      <c r="F580" s="16" t="s">
        <v>20</v>
      </c>
      <c r="G580" s="16">
        <v>10</v>
      </c>
      <c r="H580" s="17">
        <v>9000</v>
      </c>
      <c r="I580" s="23">
        <v>0.15</v>
      </c>
      <c r="J580" s="28">
        <f>Table2[[#This Row],[Quantity]]*Table2[[#This Row],[Unit_Price]]</f>
        <v>90000</v>
      </c>
      <c r="K580" s="31">
        <f t="shared" si="9"/>
        <v>76500</v>
      </c>
      <c r="L580" s="31">
        <f>Table2[[#This Row],[gross sales]]-Table2[[#This Row],[net sale]]</f>
        <v>13500</v>
      </c>
      <c r="M580" s="36" t="str">
        <f>TEXT(B580,"mmm")</f>
        <v>May</v>
      </c>
    </row>
    <row r="581" spans="1:13">
      <c r="A581" s="19">
        <v>1580</v>
      </c>
      <c r="B581" s="18">
        <v>45846</v>
      </c>
      <c r="C581" s="19" t="s">
        <v>28</v>
      </c>
      <c r="D581" s="19" t="s">
        <v>26</v>
      </c>
      <c r="E581" s="19" t="s">
        <v>17</v>
      </c>
      <c r="F581" s="19" t="s">
        <v>32</v>
      </c>
      <c r="G581" s="19">
        <v>16</v>
      </c>
      <c r="H581" s="20">
        <v>9000</v>
      </c>
      <c r="I581" s="24">
        <v>0.05</v>
      </c>
      <c r="J581" s="28">
        <f>Table2[[#This Row],[Quantity]]*Table2[[#This Row],[Unit_Price]]</f>
        <v>144000</v>
      </c>
      <c r="K581" s="31">
        <f t="shared" si="9"/>
        <v>136800</v>
      </c>
      <c r="L581" s="31">
        <f>Table2[[#This Row],[gross sales]]-Table2[[#This Row],[net sale]]</f>
        <v>7200</v>
      </c>
      <c r="M581" s="37" t="str">
        <f>TEXT(B581,"mmm")</f>
        <v>Jul</v>
      </c>
    </row>
    <row r="582" spans="1:13">
      <c r="A582" s="16">
        <v>1581</v>
      </c>
      <c r="B582" s="15">
        <v>45661</v>
      </c>
      <c r="C582" s="16" t="s">
        <v>37</v>
      </c>
      <c r="D582" s="16" t="s">
        <v>36</v>
      </c>
      <c r="E582" s="16" t="s">
        <v>17</v>
      </c>
      <c r="F582" s="16" t="s">
        <v>23</v>
      </c>
      <c r="G582" s="16">
        <v>14</v>
      </c>
      <c r="H582" s="17">
        <v>1800</v>
      </c>
      <c r="I582" s="23">
        <v>0</v>
      </c>
      <c r="J582" s="28">
        <f>Table2[[#This Row],[Quantity]]*Table2[[#This Row],[Unit_Price]]</f>
        <v>25200</v>
      </c>
      <c r="K582" s="31">
        <f t="shared" si="9"/>
        <v>25200</v>
      </c>
      <c r="L582" s="31">
        <f>Table2[[#This Row],[gross sales]]-Table2[[#This Row],[net sale]]</f>
        <v>0</v>
      </c>
      <c r="M582" s="36" t="str">
        <f>TEXT(B582,"mmm")</f>
        <v>Jan</v>
      </c>
    </row>
    <row r="583" spans="1:13">
      <c r="A583" s="19">
        <v>1582</v>
      </c>
      <c r="B583" s="18">
        <v>45983</v>
      </c>
      <c r="C583" s="19" t="s">
        <v>38</v>
      </c>
      <c r="D583" s="19" t="s">
        <v>10</v>
      </c>
      <c r="E583" s="19" t="s">
        <v>14</v>
      </c>
      <c r="F583" s="19" t="s">
        <v>15</v>
      </c>
      <c r="G583" s="19">
        <v>1</v>
      </c>
      <c r="H583" s="20">
        <v>42000</v>
      </c>
      <c r="I583" s="24">
        <v>0.08</v>
      </c>
      <c r="J583" s="28">
        <f>Table2[[#This Row],[Quantity]]*Table2[[#This Row],[Unit_Price]]</f>
        <v>42000</v>
      </c>
      <c r="K583" s="31">
        <f t="shared" si="9"/>
        <v>38640</v>
      </c>
      <c r="L583" s="31">
        <f>Table2[[#This Row],[gross sales]]-Table2[[#This Row],[net sale]]</f>
        <v>3360</v>
      </c>
      <c r="M583" s="37" t="str">
        <f>TEXT(B583,"mmm")</f>
        <v>Nov</v>
      </c>
    </row>
    <row r="584" spans="1:13">
      <c r="A584" s="16">
        <v>1583</v>
      </c>
      <c r="B584" s="15">
        <v>45815</v>
      </c>
      <c r="C584" s="16" t="s">
        <v>9</v>
      </c>
      <c r="D584" s="16" t="s">
        <v>10</v>
      </c>
      <c r="E584" s="16" t="s">
        <v>17</v>
      </c>
      <c r="F584" s="16" t="s">
        <v>15</v>
      </c>
      <c r="G584" s="16">
        <v>7</v>
      </c>
      <c r="H584" s="17">
        <v>18000</v>
      </c>
      <c r="I584" s="23">
        <v>0.12</v>
      </c>
      <c r="J584" s="28">
        <f>Table2[[#This Row],[Quantity]]*Table2[[#This Row],[Unit_Price]]</f>
        <v>126000</v>
      </c>
      <c r="K584" s="31">
        <f t="shared" si="9"/>
        <v>110880</v>
      </c>
      <c r="L584" s="31">
        <f>Table2[[#This Row],[gross sales]]-Table2[[#This Row],[net sale]]</f>
        <v>15120</v>
      </c>
      <c r="M584" s="36" t="str">
        <f>TEXT(B584,"mmm")</f>
        <v>Jun</v>
      </c>
    </row>
    <row r="585" spans="1:13">
      <c r="A585" s="19">
        <v>1584</v>
      </c>
      <c r="B585" s="18">
        <v>45909</v>
      </c>
      <c r="C585" s="19" t="s">
        <v>16</v>
      </c>
      <c r="D585" s="19" t="s">
        <v>10</v>
      </c>
      <c r="E585" s="19" t="s">
        <v>11</v>
      </c>
      <c r="F585" s="19" t="s">
        <v>24</v>
      </c>
      <c r="G585" s="19">
        <v>5</v>
      </c>
      <c r="H585" s="20">
        <v>55000</v>
      </c>
      <c r="I585" s="24">
        <v>0.15</v>
      </c>
      <c r="J585" s="28">
        <f>Table2[[#This Row],[Quantity]]*Table2[[#This Row],[Unit_Price]]</f>
        <v>275000</v>
      </c>
      <c r="K585" s="31">
        <f t="shared" si="9"/>
        <v>233750</v>
      </c>
      <c r="L585" s="31">
        <f>Table2[[#This Row],[gross sales]]-Table2[[#This Row],[net sale]]</f>
        <v>41250</v>
      </c>
      <c r="M585" s="37" t="str">
        <f>TEXT(B585,"mmm")</f>
        <v>Sep</v>
      </c>
    </row>
    <row r="586" spans="1:13">
      <c r="A586" s="16">
        <v>1585</v>
      </c>
      <c r="B586" s="15">
        <v>45680</v>
      </c>
      <c r="C586" s="16" t="s">
        <v>37</v>
      </c>
      <c r="D586" s="16" t="s">
        <v>36</v>
      </c>
      <c r="E586" s="16" t="s">
        <v>22</v>
      </c>
      <c r="F586" s="16" t="s">
        <v>23</v>
      </c>
      <c r="G586" s="16">
        <v>8</v>
      </c>
      <c r="H586" s="17">
        <v>1800</v>
      </c>
      <c r="I586" s="23">
        <v>0.12</v>
      </c>
      <c r="J586" s="28">
        <f>Table2[[#This Row],[Quantity]]*Table2[[#This Row],[Unit_Price]]</f>
        <v>14400</v>
      </c>
      <c r="K586" s="31">
        <f t="shared" si="9"/>
        <v>12672</v>
      </c>
      <c r="L586" s="31">
        <f>Table2[[#This Row],[gross sales]]-Table2[[#This Row],[net sale]]</f>
        <v>1728</v>
      </c>
      <c r="M586" s="36" t="str">
        <f>TEXT(B586,"mmm")</f>
        <v>Jan</v>
      </c>
    </row>
    <row r="587" spans="1:13">
      <c r="A587" s="19">
        <v>1586</v>
      </c>
      <c r="B587" s="18">
        <v>45892</v>
      </c>
      <c r="C587" s="19" t="s">
        <v>39</v>
      </c>
      <c r="D587" s="19" t="s">
        <v>30</v>
      </c>
      <c r="E587" s="19" t="s">
        <v>14</v>
      </c>
      <c r="F587" s="19" t="s">
        <v>32</v>
      </c>
      <c r="G587" s="19">
        <v>3</v>
      </c>
      <c r="H587" s="19">
        <v>180</v>
      </c>
      <c r="I587" s="24">
        <v>0.12</v>
      </c>
      <c r="J587" s="28">
        <f>Table2[[#This Row],[Quantity]]*Table2[[#This Row],[Unit_Price]]</f>
        <v>540</v>
      </c>
      <c r="K587" s="31">
        <f t="shared" si="9"/>
        <v>475.2</v>
      </c>
      <c r="L587" s="31">
        <f>Table2[[#This Row],[gross sales]]-Table2[[#This Row],[net sale]]</f>
        <v>64.800000000000011</v>
      </c>
      <c r="M587" s="37" t="str">
        <f>TEXT(B587,"mmm")</f>
        <v>Aug</v>
      </c>
    </row>
    <row r="588" spans="1:13">
      <c r="A588" s="16">
        <v>1587</v>
      </c>
      <c r="B588" s="15">
        <v>45984</v>
      </c>
      <c r="C588" s="16" t="s">
        <v>38</v>
      </c>
      <c r="D588" s="16" t="s">
        <v>10</v>
      </c>
      <c r="E588" s="16" t="s">
        <v>14</v>
      </c>
      <c r="F588" s="16" t="s">
        <v>15</v>
      </c>
      <c r="G588" s="16">
        <v>13</v>
      </c>
      <c r="H588" s="17">
        <v>42000</v>
      </c>
      <c r="I588" s="23">
        <v>0</v>
      </c>
      <c r="J588" s="28">
        <f>Table2[[#This Row],[Quantity]]*Table2[[#This Row],[Unit_Price]]</f>
        <v>546000</v>
      </c>
      <c r="K588" s="31">
        <f t="shared" si="9"/>
        <v>546000</v>
      </c>
      <c r="L588" s="31">
        <f>Table2[[#This Row],[gross sales]]-Table2[[#This Row],[net sale]]</f>
        <v>0</v>
      </c>
      <c r="M588" s="36" t="str">
        <f>TEXT(B588,"mmm")</f>
        <v>Nov</v>
      </c>
    </row>
    <row r="589" spans="1:13">
      <c r="A589" s="19">
        <v>1588</v>
      </c>
      <c r="B589" s="18">
        <v>45997</v>
      </c>
      <c r="C589" s="19" t="s">
        <v>13</v>
      </c>
      <c r="D589" s="19" t="s">
        <v>10</v>
      </c>
      <c r="E589" s="19" t="s">
        <v>11</v>
      </c>
      <c r="F589" s="19" t="s">
        <v>23</v>
      </c>
      <c r="G589" s="19">
        <v>8</v>
      </c>
      <c r="H589" s="20">
        <v>1200</v>
      </c>
      <c r="I589" s="24">
        <v>0.08</v>
      </c>
      <c r="J589" s="28">
        <f>Table2[[#This Row],[Quantity]]*Table2[[#This Row],[Unit_Price]]</f>
        <v>9600</v>
      </c>
      <c r="K589" s="31">
        <f t="shared" si="9"/>
        <v>8832</v>
      </c>
      <c r="L589" s="31">
        <f>Table2[[#This Row],[gross sales]]-Table2[[#This Row],[net sale]]</f>
        <v>768</v>
      </c>
      <c r="M589" s="37" t="str">
        <f>TEXT(B589,"mmm")</f>
        <v>Dec</v>
      </c>
    </row>
    <row r="590" spans="1:13">
      <c r="A590" s="16">
        <v>1589</v>
      </c>
      <c r="B590" s="15">
        <v>45859</v>
      </c>
      <c r="C590" s="16" t="s">
        <v>39</v>
      </c>
      <c r="D590" s="16" t="s">
        <v>30</v>
      </c>
      <c r="E590" s="16" t="s">
        <v>22</v>
      </c>
      <c r="F590" s="16" t="s">
        <v>27</v>
      </c>
      <c r="G590" s="16">
        <v>11</v>
      </c>
      <c r="H590" s="16">
        <v>180</v>
      </c>
      <c r="I590" s="23">
        <v>0.08</v>
      </c>
      <c r="J590" s="28">
        <f>Table2[[#This Row],[Quantity]]*Table2[[#This Row],[Unit_Price]]</f>
        <v>1980</v>
      </c>
      <c r="K590" s="31">
        <f t="shared" si="9"/>
        <v>1821.6000000000001</v>
      </c>
      <c r="L590" s="31">
        <f>Table2[[#This Row],[gross sales]]-Table2[[#This Row],[net sale]]</f>
        <v>158.39999999999986</v>
      </c>
      <c r="M590" s="36" t="str">
        <f>TEXT(B590,"mmm")</f>
        <v>Jul</v>
      </c>
    </row>
    <row r="591" spans="1:13">
      <c r="A591" s="19">
        <v>1590</v>
      </c>
      <c r="B591" s="18">
        <v>45777</v>
      </c>
      <c r="C591" s="19" t="s">
        <v>9</v>
      </c>
      <c r="D591" s="19" t="s">
        <v>10</v>
      </c>
      <c r="E591" s="19" t="s">
        <v>14</v>
      </c>
      <c r="F591" s="19" t="s">
        <v>32</v>
      </c>
      <c r="G591" s="19">
        <v>7</v>
      </c>
      <c r="H591" s="20">
        <v>18000</v>
      </c>
      <c r="I591" s="24">
        <v>0.05</v>
      </c>
      <c r="J591" s="28">
        <f>Table2[[#This Row],[Quantity]]*Table2[[#This Row],[Unit_Price]]</f>
        <v>126000</v>
      </c>
      <c r="K591" s="31">
        <f t="shared" si="9"/>
        <v>119700</v>
      </c>
      <c r="L591" s="31">
        <f>Table2[[#This Row],[gross sales]]-Table2[[#This Row],[net sale]]</f>
        <v>6300</v>
      </c>
      <c r="M591" s="37" t="str">
        <f>TEXT(B591,"mmm")</f>
        <v>Apr</v>
      </c>
    </row>
    <row r="592" spans="1:13">
      <c r="A592" s="16">
        <v>1591</v>
      </c>
      <c r="B592" s="15">
        <v>45712</v>
      </c>
      <c r="C592" s="16" t="s">
        <v>13</v>
      </c>
      <c r="D592" s="16" t="s">
        <v>10</v>
      </c>
      <c r="E592" s="16" t="s">
        <v>11</v>
      </c>
      <c r="F592" s="16" t="s">
        <v>15</v>
      </c>
      <c r="G592" s="16">
        <v>15</v>
      </c>
      <c r="H592" s="17">
        <v>1200</v>
      </c>
      <c r="I592" s="23">
        <v>0.1</v>
      </c>
      <c r="J592" s="28">
        <f>Table2[[#This Row],[Quantity]]*Table2[[#This Row],[Unit_Price]]</f>
        <v>18000</v>
      </c>
      <c r="K592" s="31">
        <f t="shared" si="9"/>
        <v>16200</v>
      </c>
      <c r="L592" s="31">
        <f>Table2[[#This Row],[gross sales]]-Table2[[#This Row],[net sale]]</f>
        <v>1800</v>
      </c>
      <c r="M592" s="36" t="str">
        <f>TEXT(B592,"mmm")</f>
        <v>Feb</v>
      </c>
    </row>
    <row r="593" spans="1:13">
      <c r="A593" s="19">
        <v>1592</v>
      </c>
      <c r="B593" s="18">
        <v>45719</v>
      </c>
      <c r="C593" s="19" t="s">
        <v>25</v>
      </c>
      <c r="D593" s="19" t="s">
        <v>26</v>
      </c>
      <c r="E593" s="19" t="s">
        <v>22</v>
      </c>
      <c r="F593" s="19" t="s">
        <v>27</v>
      </c>
      <c r="G593" s="19">
        <v>12</v>
      </c>
      <c r="H593" s="20">
        <v>11000</v>
      </c>
      <c r="I593" s="24">
        <v>0.05</v>
      </c>
      <c r="J593" s="28">
        <f>Table2[[#This Row],[Quantity]]*Table2[[#This Row],[Unit_Price]]</f>
        <v>132000</v>
      </c>
      <c r="K593" s="31">
        <f t="shared" si="9"/>
        <v>125400</v>
      </c>
      <c r="L593" s="31">
        <f>Table2[[#This Row],[gross sales]]-Table2[[#This Row],[net sale]]</f>
        <v>6600</v>
      </c>
      <c r="M593" s="37" t="str">
        <f>TEXT(B593,"mmm")</f>
        <v>Mar</v>
      </c>
    </row>
    <row r="594" spans="1:13">
      <c r="A594" s="16">
        <v>1593</v>
      </c>
      <c r="B594" s="15">
        <v>45895</v>
      </c>
      <c r="C594" s="16" t="s">
        <v>21</v>
      </c>
      <c r="D594" s="16" t="s">
        <v>10</v>
      </c>
      <c r="E594" s="16" t="s">
        <v>17</v>
      </c>
      <c r="F594" s="16" t="s">
        <v>27</v>
      </c>
      <c r="G594" s="16">
        <v>4</v>
      </c>
      <c r="H594" s="17">
        <v>14000</v>
      </c>
      <c r="I594" s="23">
        <v>0</v>
      </c>
      <c r="J594" s="28">
        <f>Table2[[#This Row],[Quantity]]*Table2[[#This Row],[Unit_Price]]</f>
        <v>56000</v>
      </c>
      <c r="K594" s="31">
        <f t="shared" si="9"/>
        <v>56000</v>
      </c>
      <c r="L594" s="31">
        <f>Table2[[#This Row],[gross sales]]-Table2[[#This Row],[net sale]]</f>
        <v>0</v>
      </c>
      <c r="M594" s="36" t="str">
        <f>TEXT(B594,"mmm")</f>
        <v>Aug</v>
      </c>
    </row>
    <row r="595" spans="1:13">
      <c r="A595" s="19">
        <v>1594</v>
      </c>
      <c r="B595" s="18">
        <v>46018</v>
      </c>
      <c r="C595" s="19" t="s">
        <v>39</v>
      </c>
      <c r="D595" s="19" t="s">
        <v>30</v>
      </c>
      <c r="E595" s="19" t="s">
        <v>17</v>
      </c>
      <c r="F595" s="19" t="s">
        <v>23</v>
      </c>
      <c r="G595" s="19">
        <v>20</v>
      </c>
      <c r="H595" s="19">
        <v>180</v>
      </c>
      <c r="I595" s="24">
        <v>0</v>
      </c>
      <c r="J595" s="28">
        <f>Table2[[#This Row],[Quantity]]*Table2[[#This Row],[Unit_Price]]</f>
        <v>3600</v>
      </c>
      <c r="K595" s="31">
        <f t="shared" si="9"/>
        <v>3600</v>
      </c>
      <c r="L595" s="31">
        <f>Table2[[#This Row],[gross sales]]-Table2[[#This Row],[net sale]]</f>
        <v>0</v>
      </c>
      <c r="M595" s="37" t="str">
        <f>TEXT(B595,"mmm")</f>
        <v>Dec</v>
      </c>
    </row>
    <row r="596" spans="1:13">
      <c r="A596" s="16">
        <v>1595</v>
      </c>
      <c r="B596" s="15">
        <v>45733</v>
      </c>
      <c r="C596" s="16" t="s">
        <v>9</v>
      </c>
      <c r="D596" s="16" t="s">
        <v>10</v>
      </c>
      <c r="E596" s="16" t="s">
        <v>22</v>
      </c>
      <c r="F596" s="16" t="s">
        <v>18</v>
      </c>
      <c r="G596" s="16">
        <v>8</v>
      </c>
      <c r="H596" s="17">
        <v>18000</v>
      </c>
      <c r="I596" s="23">
        <v>0.08</v>
      </c>
      <c r="J596" s="28">
        <f>Table2[[#This Row],[Quantity]]*Table2[[#This Row],[Unit_Price]]</f>
        <v>144000</v>
      </c>
      <c r="K596" s="31">
        <f t="shared" si="9"/>
        <v>132480</v>
      </c>
      <c r="L596" s="31">
        <f>Table2[[#This Row],[gross sales]]-Table2[[#This Row],[net sale]]</f>
        <v>11520</v>
      </c>
      <c r="M596" s="36" t="str">
        <f>TEXT(B596,"mmm")</f>
        <v>Mar</v>
      </c>
    </row>
    <row r="597" spans="1:13">
      <c r="A597" s="19">
        <v>1596</v>
      </c>
      <c r="B597" s="18">
        <v>46004</v>
      </c>
      <c r="C597" s="19" t="s">
        <v>21</v>
      </c>
      <c r="D597" s="19" t="s">
        <v>10</v>
      </c>
      <c r="E597" s="19" t="s">
        <v>14</v>
      </c>
      <c r="F597" s="19" t="s">
        <v>15</v>
      </c>
      <c r="G597" s="19">
        <v>9</v>
      </c>
      <c r="H597" s="20">
        <v>14000</v>
      </c>
      <c r="I597" s="24">
        <v>0.05</v>
      </c>
      <c r="J597" s="28">
        <f>Table2[[#This Row],[Quantity]]*Table2[[#This Row],[Unit_Price]]</f>
        <v>126000</v>
      </c>
      <c r="K597" s="31">
        <f t="shared" si="9"/>
        <v>119700</v>
      </c>
      <c r="L597" s="31">
        <f>Table2[[#This Row],[gross sales]]-Table2[[#This Row],[net sale]]</f>
        <v>6300</v>
      </c>
      <c r="M597" s="37" t="str">
        <f>TEXT(B597,"mmm")</f>
        <v>Dec</v>
      </c>
    </row>
    <row r="598" spans="1:13">
      <c r="A598" s="16">
        <v>1597</v>
      </c>
      <c r="B598" s="15">
        <v>45889</v>
      </c>
      <c r="C598" s="16" t="s">
        <v>25</v>
      </c>
      <c r="D598" s="16" t="s">
        <v>26</v>
      </c>
      <c r="E598" s="16" t="s">
        <v>14</v>
      </c>
      <c r="F598" s="16" t="s">
        <v>20</v>
      </c>
      <c r="G598" s="16">
        <v>18</v>
      </c>
      <c r="H598" s="17">
        <v>11000</v>
      </c>
      <c r="I598" s="23">
        <v>0.05</v>
      </c>
      <c r="J598" s="28">
        <f>Table2[[#This Row],[Quantity]]*Table2[[#This Row],[Unit_Price]]</f>
        <v>198000</v>
      </c>
      <c r="K598" s="31">
        <f t="shared" si="9"/>
        <v>188100</v>
      </c>
      <c r="L598" s="31">
        <f>Table2[[#This Row],[gross sales]]-Table2[[#This Row],[net sale]]</f>
        <v>9900</v>
      </c>
      <c r="M598" s="36" t="str">
        <f>TEXT(B598,"mmm")</f>
        <v>Aug</v>
      </c>
    </row>
    <row r="599" spans="1:13">
      <c r="A599" s="19">
        <v>1598</v>
      </c>
      <c r="B599" s="18">
        <v>45710</v>
      </c>
      <c r="C599" s="19" t="s">
        <v>35</v>
      </c>
      <c r="D599" s="19" t="s">
        <v>36</v>
      </c>
      <c r="E599" s="19" t="s">
        <v>14</v>
      </c>
      <c r="F599" s="19" t="s">
        <v>18</v>
      </c>
      <c r="G599" s="19">
        <v>5</v>
      </c>
      <c r="H599" s="20">
        <v>3500</v>
      </c>
      <c r="I599" s="24">
        <v>0</v>
      </c>
      <c r="J599" s="28">
        <f>Table2[[#This Row],[Quantity]]*Table2[[#This Row],[Unit_Price]]</f>
        <v>17500</v>
      </c>
      <c r="K599" s="31">
        <f t="shared" si="9"/>
        <v>17500</v>
      </c>
      <c r="L599" s="31">
        <f>Table2[[#This Row],[gross sales]]-Table2[[#This Row],[net sale]]</f>
        <v>0</v>
      </c>
      <c r="M599" s="37" t="str">
        <f>TEXT(B599,"mmm")</f>
        <v>Feb</v>
      </c>
    </row>
    <row r="600" spans="1:13">
      <c r="A600" s="16">
        <v>1599</v>
      </c>
      <c r="B600" s="15">
        <v>45771</v>
      </c>
      <c r="C600" s="16" t="s">
        <v>13</v>
      </c>
      <c r="D600" s="16" t="s">
        <v>10</v>
      </c>
      <c r="E600" s="16" t="s">
        <v>11</v>
      </c>
      <c r="F600" s="16" t="s">
        <v>24</v>
      </c>
      <c r="G600" s="16">
        <v>7</v>
      </c>
      <c r="H600" s="17">
        <v>1200</v>
      </c>
      <c r="I600" s="23">
        <v>0.1</v>
      </c>
      <c r="J600" s="28">
        <f>Table2[[#This Row],[Quantity]]*Table2[[#This Row],[Unit_Price]]</f>
        <v>8400</v>
      </c>
      <c r="K600" s="31">
        <f t="shared" si="9"/>
        <v>7560</v>
      </c>
      <c r="L600" s="31">
        <f>Table2[[#This Row],[gross sales]]-Table2[[#This Row],[net sale]]</f>
        <v>840</v>
      </c>
      <c r="M600" s="36" t="str">
        <f>TEXT(B600,"mmm")</f>
        <v>Apr</v>
      </c>
    </row>
    <row r="601" spans="1:13">
      <c r="A601" s="19">
        <v>1600</v>
      </c>
      <c r="B601" s="18">
        <v>46371</v>
      </c>
      <c r="C601" s="19" t="s">
        <v>28</v>
      </c>
      <c r="D601" s="19" t="s">
        <v>26</v>
      </c>
      <c r="E601" s="19" t="s">
        <v>14</v>
      </c>
      <c r="F601" s="19" t="s">
        <v>24</v>
      </c>
      <c r="G601" s="19">
        <v>9</v>
      </c>
      <c r="H601" s="20">
        <v>9000</v>
      </c>
      <c r="I601" s="24">
        <v>0</v>
      </c>
      <c r="J601" s="28">
        <f>Table2[[#This Row],[Quantity]]*Table2[[#This Row],[Unit_Price]]</f>
        <v>81000</v>
      </c>
      <c r="K601" s="31">
        <f t="shared" si="9"/>
        <v>81000</v>
      </c>
      <c r="L601" s="31">
        <f>Table2[[#This Row],[gross sales]]-Table2[[#This Row],[net sale]]</f>
        <v>0</v>
      </c>
      <c r="M601" s="37" t="str">
        <f>TEXT(B601,"mmm")</f>
        <v>Dec</v>
      </c>
    </row>
    <row r="602" spans="1:13">
      <c r="A602" s="16">
        <v>1601</v>
      </c>
      <c r="B602" s="15">
        <v>45759</v>
      </c>
      <c r="C602" s="16" t="s">
        <v>37</v>
      </c>
      <c r="D602" s="16" t="s">
        <v>36</v>
      </c>
      <c r="E602" s="16" t="s">
        <v>14</v>
      </c>
      <c r="F602" s="16" t="s">
        <v>23</v>
      </c>
      <c r="G602" s="16">
        <v>15</v>
      </c>
      <c r="H602" s="17">
        <v>1800</v>
      </c>
      <c r="I602" s="23">
        <v>0.05</v>
      </c>
      <c r="J602" s="28">
        <f>Table2[[#This Row],[Quantity]]*Table2[[#This Row],[Unit_Price]]</f>
        <v>27000</v>
      </c>
      <c r="K602" s="31">
        <f t="shared" si="9"/>
        <v>25650</v>
      </c>
      <c r="L602" s="31">
        <f>Table2[[#This Row],[gross sales]]-Table2[[#This Row],[net sale]]</f>
        <v>1350</v>
      </c>
      <c r="M602" s="36" t="str">
        <f>TEXT(B602,"mmm")</f>
        <v>Apr</v>
      </c>
    </row>
    <row r="603" spans="1:13">
      <c r="A603" s="19">
        <v>1602</v>
      </c>
      <c r="B603" s="18">
        <v>45720</v>
      </c>
      <c r="C603" s="19" t="s">
        <v>16</v>
      </c>
      <c r="D603" s="19" t="s">
        <v>10</v>
      </c>
      <c r="E603" s="19" t="s">
        <v>17</v>
      </c>
      <c r="F603" s="19" t="s">
        <v>15</v>
      </c>
      <c r="G603" s="19">
        <v>15</v>
      </c>
      <c r="H603" s="20">
        <v>55000</v>
      </c>
      <c r="I603" s="24">
        <v>0</v>
      </c>
      <c r="J603" s="28">
        <f>Table2[[#This Row],[Quantity]]*Table2[[#This Row],[Unit_Price]]</f>
        <v>825000</v>
      </c>
      <c r="K603" s="31">
        <f t="shared" si="9"/>
        <v>825000</v>
      </c>
      <c r="L603" s="31">
        <f>Table2[[#This Row],[gross sales]]-Table2[[#This Row],[net sale]]</f>
        <v>0</v>
      </c>
      <c r="M603" s="37" t="str">
        <f>TEXT(B603,"mmm")</f>
        <v>Mar</v>
      </c>
    </row>
    <row r="604" spans="1:13">
      <c r="A604" s="16">
        <v>1603</v>
      </c>
      <c r="B604" s="15">
        <v>45860</v>
      </c>
      <c r="C604" s="16" t="s">
        <v>34</v>
      </c>
      <c r="D604" s="16" t="s">
        <v>26</v>
      </c>
      <c r="E604" s="16" t="s">
        <v>22</v>
      </c>
      <c r="F604" s="16" t="s">
        <v>32</v>
      </c>
      <c r="G604" s="16">
        <v>1</v>
      </c>
      <c r="H604" s="17">
        <v>15000</v>
      </c>
      <c r="I604" s="23">
        <v>0.1</v>
      </c>
      <c r="J604" s="28">
        <f>Table2[[#This Row],[Quantity]]*Table2[[#This Row],[Unit_Price]]</f>
        <v>15000</v>
      </c>
      <c r="K604" s="31">
        <f t="shared" si="9"/>
        <v>13500</v>
      </c>
      <c r="L604" s="31">
        <f>Table2[[#This Row],[gross sales]]-Table2[[#This Row],[net sale]]</f>
        <v>1500</v>
      </c>
      <c r="M604" s="36" t="str">
        <f>TEXT(B604,"mmm")</f>
        <v>Jul</v>
      </c>
    </row>
    <row r="605" spans="1:13">
      <c r="A605" s="19">
        <v>1604</v>
      </c>
      <c r="B605" s="18">
        <v>45839</v>
      </c>
      <c r="C605" s="19" t="s">
        <v>19</v>
      </c>
      <c r="D605" s="19" t="s">
        <v>10</v>
      </c>
      <c r="E605" s="19" t="s">
        <v>11</v>
      </c>
      <c r="F605" s="19" t="s">
        <v>20</v>
      </c>
      <c r="G605" s="19">
        <v>6</v>
      </c>
      <c r="H605" s="19">
        <v>800</v>
      </c>
      <c r="I605" s="24">
        <v>0.08</v>
      </c>
      <c r="J605" s="28">
        <f>Table2[[#This Row],[Quantity]]*Table2[[#This Row],[Unit_Price]]</f>
        <v>4800</v>
      </c>
      <c r="K605" s="31">
        <f t="shared" si="9"/>
        <v>4416</v>
      </c>
      <c r="L605" s="31">
        <f>Table2[[#This Row],[gross sales]]-Table2[[#This Row],[net sale]]</f>
        <v>384</v>
      </c>
      <c r="M605" s="37" t="str">
        <f>TEXT(B605,"mmm")</f>
        <v>Jul</v>
      </c>
    </row>
    <row r="606" spans="1:13">
      <c r="A606" s="16">
        <v>1605</v>
      </c>
      <c r="B606" s="15">
        <v>45734</v>
      </c>
      <c r="C606" s="16" t="s">
        <v>16</v>
      </c>
      <c r="D606" s="16" t="s">
        <v>10</v>
      </c>
      <c r="E606" s="16" t="s">
        <v>17</v>
      </c>
      <c r="F606" s="16" t="s">
        <v>27</v>
      </c>
      <c r="G606" s="16">
        <v>20</v>
      </c>
      <c r="H606" s="17">
        <v>55000</v>
      </c>
      <c r="I606" s="23">
        <v>0.12</v>
      </c>
      <c r="J606" s="28">
        <f>Table2[[#This Row],[Quantity]]*Table2[[#This Row],[Unit_Price]]</f>
        <v>1100000</v>
      </c>
      <c r="K606" s="31">
        <f t="shared" si="9"/>
        <v>968000</v>
      </c>
      <c r="L606" s="31">
        <f>Table2[[#This Row],[gross sales]]-Table2[[#This Row],[net sale]]</f>
        <v>132000</v>
      </c>
      <c r="M606" s="36" t="str">
        <f>TEXT(B606,"mmm")</f>
        <v>Mar</v>
      </c>
    </row>
    <row r="607" spans="1:13">
      <c r="A607" s="19">
        <v>1606</v>
      </c>
      <c r="B607" s="18">
        <v>45913</v>
      </c>
      <c r="C607" s="19" t="s">
        <v>31</v>
      </c>
      <c r="D607" s="19" t="s">
        <v>26</v>
      </c>
      <c r="E607" s="19" t="s">
        <v>14</v>
      </c>
      <c r="F607" s="19" t="s">
        <v>24</v>
      </c>
      <c r="G607" s="19">
        <v>18</v>
      </c>
      <c r="H607" s="20">
        <v>8500</v>
      </c>
      <c r="I607" s="24">
        <v>0.1</v>
      </c>
      <c r="J607" s="28">
        <f>Table2[[#This Row],[Quantity]]*Table2[[#This Row],[Unit_Price]]</f>
        <v>153000</v>
      </c>
      <c r="K607" s="31">
        <f t="shared" si="9"/>
        <v>137700</v>
      </c>
      <c r="L607" s="31">
        <f>Table2[[#This Row],[gross sales]]-Table2[[#This Row],[net sale]]</f>
        <v>15300</v>
      </c>
      <c r="M607" s="37" t="str">
        <f>TEXT(B607,"mmm")</f>
        <v>Sep</v>
      </c>
    </row>
    <row r="608" spans="1:13">
      <c r="A608" s="16">
        <v>1607</v>
      </c>
      <c r="B608" s="15">
        <v>45801</v>
      </c>
      <c r="C608" s="16" t="s">
        <v>31</v>
      </c>
      <c r="D608" s="16" t="s">
        <v>26</v>
      </c>
      <c r="E608" s="16" t="s">
        <v>17</v>
      </c>
      <c r="F608" s="16" t="s">
        <v>12</v>
      </c>
      <c r="G608" s="16">
        <v>5</v>
      </c>
      <c r="H608" s="17">
        <v>8500</v>
      </c>
      <c r="I608" s="23">
        <v>0.1</v>
      </c>
      <c r="J608" s="28">
        <f>Table2[[#This Row],[Quantity]]*Table2[[#This Row],[Unit_Price]]</f>
        <v>42500</v>
      </c>
      <c r="K608" s="31">
        <f t="shared" si="9"/>
        <v>38250</v>
      </c>
      <c r="L608" s="31">
        <f>Table2[[#This Row],[gross sales]]-Table2[[#This Row],[net sale]]</f>
        <v>4250</v>
      </c>
      <c r="M608" s="36" t="str">
        <f>TEXT(B608,"mmm")</f>
        <v>May</v>
      </c>
    </row>
    <row r="609" spans="1:13">
      <c r="A609" s="19">
        <v>1608</v>
      </c>
      <c r="B609" s="18">
        <v>45980</v>
      </c>
      <c r="C609" s="19" t="s">
        <v>35</v>
      </c>
      <c r="D609" s="19" t="s">
        <v>36</v>
      </c>
      <c r="E609" s="19" t="s">
        <v>22</v>
      </c>
      <c r="F609" s="19" t="s">
        <v>23</v>
      </c>
      <c r="G609" s="19">
        <v>18</v>
      </c>
      <c r="H609" s="20">
        <v>3500</v>
      </c>
      <c r="I609" s="24">
        <v>0</v>
      </c>
      <c r="J609" s="28">
        <f>Table2[[#This Row],[Quantity]]*Table2[[#This Row],[Unit_Price]]</f>
        <v>63000</v>
      </c>
      <c r="K609" s="31">
        <f t="shared" si="9"/>
        <v>63000</v>
      </c>
      <c r="L609" s="31">
        <f>Table2[[#This Row],[gross sales]]-Table2[[#This Row],[net sale]]</f>
        <v>0</v>
      </c>
      <c r="M609" s="37" t="str">
        <f>TEXT(B609,"mmm")</f>
        <v>Nov</v>
      </c>
    </row>
    <row r="610" spans="1:13">
      <c r="A610" s="16">
        <v>1609</v>
      </c>
      <c r="B610" s="15">
        <v>45903</v>
      </c>
      <c r="C610" s="16" t="s">
        <v>25</v>
      </c>
      <c r="D610" s="16" t="s">
        <v>26</v>
      </c>
      <c r="E610" s="16" t="s">
        <v>11</v>
      </c>
      <c r="F610" s="16" t="s">
        <v>15</v>
      </c>
      <c r="G610" s="16">
        <v>16</v>
      </c>
      <c r="H610" s="17">
        <v>11000</v>
      </c>
      <c r="I610" s="23">
        <v>0.08</v>
      </c>
      <c r="J610" s="28">
        <f>Table2[[#This Row],[Quantity]]*Table2[[#This Row],[Unit_Price]]</f>
        <v>176000</v>
      </c>
      <c r="K610" s="31">
        <f t="shared" si="9"/>
        <v>161920</v>
      </c>
      <c r="L610" s="31">
        <f>Table2[[#This Row],[gross sales]]-Table2[[#This Row],[net sale]]</f>
        <v>14080</v>
      </c>
      <c r="M610" s="36" t="str">
        <f>TEXT(B610,"mmm")</f>
        <v>Sep</v>
      </c>
    </row>
    <row r="611" spans="1:13">
      <c r="A611" s="19">
        <v>1610</v>
      </c>
      <c r="B611" s="18">
        <v>45796</v>
      </c>
      <c r="C611" s="19" t="s">
        <v>13</v>
      </c>
      <c r="D611" s="19" t="s">
        <v>10</v>
      </c>
      <c r="E611" s="19" t="s">
        <v>17</v>
      </c>
      <c r="F611" s="19" t="s">
        <v>18</v>
      </c>
      <c r="G611" s="19">
        <v>1</v>
      </c>
      <c r="H611" s="20">
        <v>1200</v>
      </c>
      <c r="I611" s="24">
        <v>0.08</v>
      </c>
      <c r="J611" s="28">
        <f>Table2[[#This Row],[Quantity]]*Table2[[#This Row],[Unit_Price]]</f>
        <v>1200</v>
      </c>
      <c r="K611" s="31">
        <f t="shared" si="9"/>
        <v>1104</v>
      </c>
      <c r="L611" s="31">
        <f>Table2[[#This Row],[gross sales]]-Table2[[#This Row],[net sale]]</f>
        <v>96</v>
      </c>
      <c r="M611" s="37" t="str">
        <f>TEXT(B611,"mmm")</f>
        <v>May</v>
      </c>
    </row>
    <row r="612" spans="1:13">
      <c r="A612" s="16">
        <v>1611</v>
      </c>
      <c r="B612" s="15">
        <v>45801</v>
      </c>
      <c r="C612" s="16" t="s">
        <v>16</v>
      </c>
      <c r="D612" s="16" t="s">
        <v>10</v>
      </c>
      <c r="E612" s="16" t="s">
        <v>11</v>
      </c>
      <c r="F612" s="16" t="s">
        <v>12</v>
      </c>
      <c r="G612" s="16">
        <v>16</v>
      </c>
      <c r="H612" s="17">
        <v>55000</v>
      </c>
      <c r="I612" s="23">
        <v>0.12</v>
      </c>
      <c r="J612" s="28">
        <f>Table2[[#This Row],[Quantity]]*Table2[[#This Row],[Unit_Price]]</f>
        <v>880000</v>
      </c>
      <c r="K612" s="31">
        <f t="shared" si="9"/>
        <v>774400</v>
      </c>
      <c r="L612" s="31">
        <f>Table2[[#This Row],[gross sales]]-Table2[[#This Row],[net sale]]</f>
        <v>105600</v>
      </c>
      <c r="M612" s="36" t="str">
        <f>TEXT(B612,"mmm")</f>
        <v>May</v>
      </c>
    </row>
    <row r="613" spans="1:13">
      <c r="A613" s="19">
        <v>1612</v>
      </c>
      <c r="B613" s="18">
        <v>45739</v>
      </c>
      <c r="C613" s="19" t="s">
        <v>9</v>
      </c>
      <c r="D613" s="19" t="s">
        <v>10</v>
      </c>
      <c r="E613" s="19" t="s">
        <v>17</v>
      </c>
      <c r="F613" s="19" t="s">
        <v>27</v>
      </c>
      <c r="G613" s="19">
        <v>8</v>
      </c>
      <c r="H613" s="20">
        <v>18000</v>
      </c>
      <c r="I613" s="24">
        <v>0.15</v>
      </c>
      <c r="J613" s="28">
        <f>Table2[[#This Row],[Quantity]]*Table2[[#This Row],[Unit_Price]]</f>
        <v>144000</v>
      </c>
      <c r="K613" s="31">
        <f t="shared" si="9"/>
        <v>122400</v>
      </c>
      <c r="L613" s="31">
        <f>Table2[[#This Row],[gross sales]]-Table2[[#This Row],[net sale]]</f>
        <v>21600</v>
      </c>
      <c r="M613" s="37" t="str">
        <f>TEXT(B613,"mmm")</f>
        <v>Mar</v>
      </c>
    </row>
    <row r="614" spans="1:13">
      <c r="A614" s="16">
        <v>1613</v>
      </c>
      <c r="B614" s="15">
        <v>45931</v>
      </c>
      <c r="C614" s="16" t="s">
        <v>38</v>
      </c>
      <c r="D614" s="16" t="s">
        <v>10</v>
      </c>
      <c r="E614" s="16" t="s">
        <v>22</v>
      </c>
      <c r="F614" s="16" t="s">
        <v>23</v>
      </c>
      <c r="G614" s="16">
        <v>2</v>
      </c>
      <c r="H614" s="17">
        <v>42000</v>
      </c>
      <c r="I614" s="23">
        <v>0.05</v>
      </c>
      <c r="J614" s="28">
        <f>Table2[[#This Row],[Quantity]]*Table2[[#This Row],[Unit_Price]]</f>
        <v>84000</v>
      </c>
      <c r="K614" s="31">
        <f t="shared" si="9"/>
        <v>79800</v>
      </c>
      <c r="L614" s="31">
        <f>Table2[[#This Row],[gross sales]]-Table2[[#This Row],[net sale]]</f>
        <v>4200</v>
      </c>
      <c r="M614" s="36" t="str">
        <f>TEXT(B614,"mmm")</f>
        <v>Oct</v>
      </c>
    </row>
    <row r="615" spans="1:13">
      <c r="A615" s="19">
        <v>1614</v>
      </c>
      <c r="B615" s="18">
        <v>45746</v>
      </c>
      <c r="C615" s="19" t="s">
        <v>13</v>
      </c>
      <c r="D615" s="19" t="s">
        <v>10</v>
      </c>
      <c r="E615" s="19" t="s">
        <v>11</v>
      </c>
      <c r="F615" s="19" t="s">
        <v>23</v>
      </c>
      <c r="G615" s="19">
        <v>8</v>
      </c>
      <c r="H615" s="20">
        <v>1200</v>
      </c>
      <c r="I615" s="24">
        <v>0.12</v>
      </c>
      <c r="J615" s="28">
        <f>Table2[[#This Row],[Quantity]]*Table2[[#This Row],[Unit_Price]]</f>
        <v>9600</v>
      </c>
      <c r="K615" s="31">
        <f t="shared" si="9"/>
        <v>8448</v>
      </c>
      <c r="L615" s="31">
        <f>Table2[[#This Row],[gross sales]]-Table2[[#This Row],[net sale]]</f>
        <v>1152</v>
      </c>
      <c r="M615" s="37" t="str">
        <f>TEXT(B615,"mmm")</f>
        <v>Mar</v>
      </c>
    </row>
    <row r="616" spans="1:13">
      <c r="A616" s="16">
        <v>1615</v>
      </c>
      <c r="B616" s="15">
        <v>45960</v>
      </c>
      <c r="C616" s="16" t="s">
        <v>16</v>
      </c>
      <c r="D616" s="16" t="s">
        <v>10</v>
      </c>
      <c r="E616" s="16" t="s">
        <v>17</v>
      </c>
      <c r="F616" s="16" t="s">
        <v>12</v>
      </c>
      <c r="G616" s="16">
        <v>12</v>
      </c>
      <c r="H616" s="17">
        <v>55000</v>
      </c>
      <c r="I616" s="23">
        <v>0.12</v>
      </c>
      <c r="J616" s="28">
        <f>Table2[[#This Row],[Quantity]]*Table2[[#This Row],[Unit_Price]]</f>
        <v>660000</v>
      </c>
      <c r="K616" s="31">
        <f t="shared" si="9"/>
        <v>580800</v>
      </c>
      <c r="L616" s="31">
        <f>Table2[[#This Row],[gross sales]]-Table2[[#This Row],[net sale]]</f>
        <v>79200</v>
      </c>
      <c r="M616" s="36" t="str">
        <f>TEXT(B616,"mmm")</f>
        <v>Oct</v>
      </c>
    </row>
    <row r="617" spans="1:13">
      <c r="A617" s="19">
        <v>1616</v>
      </c>
      <c r="B617" s="18">
        <v>45910</v>
      </c>
      <c r="C617" s="19" t="s">
        <v>25</v>
      </c>
      <c r="D617" s="19" t="s">
        <v>26</v>
      </c>
      <c r="E617" s="19" t="s">
        <v>22</v>
      </c>
      <c r="F617" s="19" t="s">
        <v>18</v>
      </c>
      <c r="G617" s="19">
        <v>10</v>
      </c>
      <c r="H617" s="20">
        <v>11000</v>
      </c>
      <c r="I617" s="24">
        <v>0.05</v>
      </c>
      <c r="J617" s="28">
        <f>Table2[[#This Row],[Quantity]]*Table2[[#This Row],[Unit_Price]]</f>
        <v>110000</v>
      </c>
      <c r="K617" s="31">
        <f t="shared" si="9"/>
        <v>104500</v>
      </c>
      <c r="L617" s="31">
        <f>Table2[[#This Row],[gross sales]]-Table2[[#This Row],[net sale]]</f>
        <v>5500</v>
      </c>
      <c r="M617" s="37" t="str">
        <f>TEXT(B617,"mmm")</f>
        <v>Sep</v>
      </c>
    </row>
    <row r="618" spans="1:13">
      <c r="A618" s="16">
        <v>1617</v>
      </c>
      <c r="B618" s="15">
        <v>45704</v>
      </c>
      <c r="C618" s="16" t="s">
        <v>16</v>
      </c>
      <c r="D618" s="16" t="s">
        <v>10</v>
      </c>
      <c r="E618" s="16" t="s">
        <v>17</v>
      </c>
      <c r="F618" s="16" t="s">
        <v>18</v>
      </c>
      <c r="G618" s="16">
        <v>8</v>
      </c>
      <c r="H618" s="17">
        <v>55000</v>
      </c>
      <c r="I618" s="23">
        <v>0.12</v>
      </c>
      <c r="J618" s="28">
        <f>Table2[[#This Row],[Quantity]]*Table2[[#This Row],[Unit_Price]]</f>
        <v>440000</v>
      </c>
      <c r="K618" s="31">
        <f t="shared" si="9"/>
        <v>387200</v>
      </c>
      <c r="L618" s="31">
        <f>Table2[[#This Row],[gross sales]]-Table2[[#This Row],[net sale]]</f>
        <v>52800</v>
      </c>
      <c r="M618" s="36" t="str">
        <f>TEXT(B618,"mmm")</f>
        <v>Feb</v>
      </c>
    </row>
    <row r="619" spans="1:13">
      <c r="A619" s="19">
        <v>1618</v>
      </c>
      <c r="B619" s="18">
        <v>45927</v>
      </c>
      <c r="C619" s="19" t="s">
        <v>34</v>
      </c>
      <c r="D619" s="19" t="s">
        <v>26</v>
      </c>
      <c r="E619" s="19" t="s">
        <v>17</v>
      </c>
      <c r="F619" s="19" t="s">
        <v>32</v>
      </c>
      <c r="G619" s="19">
        <v>1</v>
      </c>
      <c r="H619" s="20">
        <v>15000</v>
      </c>
      <c r="I619" s="24">
        <v>0.08</v>
      </c>
      <c r="J619" s="28">
        <f>Table2[[#This Row],[Quantity]]*Table2[[#This Row],[Unit_Price]]</f>
        <v>15000</v>
      </c>
      <c r="K619" s="31">
        <f t="shared" si="9"/>
        <v>13800</v>
      </c>
      <c r="L619" s="31">
        <f>Table2[[#This Row],[gross sales]]-Table2[[#This Row],[net sale]]</f>
        <v>1200</v>
      </c>
      <c r="M619" s="37" t="str">
        <f>TEXT(B619,"mmm")</f>
        <v>Sep</v>
      </c>
    </row>
    <row r="620" spans="1:13">
      <c r="A620" s="16">
        <v>1619</v>
      </c>
      <c r="B620" s="15">
        <v>45832</v>
      </c>
      <c r="C620" s="16" t="s">
        <v>39</v>
      </c>
      <c r="D620" s="16" t="s">
        <v>30</v>
      </c>
      <c r="E620" s="16" t="s">
        <v>14</v>
      </c>
      <c r="F620" s="16" t="s">
        <v>18</v>
      </c>
      <c r="G620" s="16">
        <v>6</v>
      </c>
      <c r="H620" s="16">
        <v>180</v>
      </c>
      <c r="I620" s="23">
        <v>0.08</v>
      </c>
      <c r="J620" s="28">
        <f>Table2[[#This Row],[Quantity]]*Table2[[#This Row],[Unit_Price]]</f>
        <v>1080</v>
      </c>
      <c r="K620" s="31">
        <f t="shared" si="9"/>
        <v>993.6</v>
      </c>
      <c r="L620" s="31">
        <f>Table2[[#This Row],[gross sales]]-Table2[[#This Row],[net sale]]</f>
        <v>86.399999999999977</v>
      </c>
      <c r="M620" s="36" t="str">
        <f>TEXT(B620,"mmm")</f>
        <v>Jun</v>
      </c>
    </row>
    <row r="621" spans="1:13">
      <c r="A621" s="19">
        <v>1620</v>
      </c>
      <c r="B621" s="18">
        <v>45733</v>
      </c>
      <c r="C621" s="19" t="s">
        <v>28</v>
      </c>
      <c r="D621" s="19" t="s">
        <v>26</v>
      </c>
      <c r="E621" s="19" t="s">
        <v>11</v>
      </c>
      <c r="F621" s="19" t="s">
        <v>24</v>
      </c>
      <c r="G621" s="19">
        <v>5</v>
      </c>
      <c r="H621" s="20">
        <v>9000</v>
      </c>
      <c r="I621" s="24">
        <v>0</v>
      </c>
      <c r="J621" s="28">
        <f>Table2[[#This Row],[Quantity]]*Table2[[#This Row],[Unit_Price]]</f>
        <v>45000</v>
      </c>
      <c r="K621" s="31">
        <f t="shared" si="9"/>
        <v>45000</v>
      </c>
      <c r="L621" s="31">
        <f>Table2[[#This Row],[gross sales]]-Table2[[#This Row],[net sale]]</f>
        <v>0</v>
      </c>
      <c r="M621" s="37" t="str">
        <f>TEXT(B621,"mmm")</f>
        <v>Mar</v>
      </c>
    </row>
    <row r="622" spans="1:13">
      <c r="A622" s="16">
        <v>1621</v>
      </c>
      <c r="B622" s="15">
        <v>45849</v>
      </c>
      <c r="C622" s="16" t="s">
        <v>39</v>
      </c>
      <c r="D622" s="16" t="s">
        <v>30</v>
      </c>
      <c r="E622" s="16" t="s">
        <v>14</v>
      </c>
      <c r="F622" s="16" t="s">
        <v>23</v>
      </c>
      <c r="G622" s="16">
        <v>13</v>
      </c>
      <c r="H622" s="16">
        <v>180</v>
      </c>
      <c r="I622" s="23">
        <v>0.12</v>
      </c>
      <c r="J622" s="28">
        <f>Table2[[#This Row],[Quantity]]*Table2[[#This Row],[Unit_Price]]</f>
        <v>2340</v>
      </c>
      <c r="K622" s="31">
        <f t="shared" si="9"/>
        <v>2059.1999999999998</v>
      </c>
      <c r="L622" s="31">
        <f>Table2[[#This Row],[gross sales]]-Table2[[#This Row],[net sale]]</f>
        <v>280.80000000000018</v>
      </c>
      <c r="M622" s="36" t="str">
        <f>TEXT(B622,"mmm")</f>
        <v>Jul</v>
      </c>
    </row>
    <row r="623" spans="1:13">
      <c r="A623" s="19">
        <v>1622</v>
      </c>
      <c r="B623" s="18">
        <v>45812</v>
      </c>
      <c r="C623" s="19" t="s">
        <v>33</v>
      </c>
      <c r="D623" s="19" t="s">
        <v>10</v>
      </c>
      <c r="E623" s="19" t="s">
        <v>22</v>
      </c>
      <c r="F623" s="19" t="s">
        <v>20</v>
      </c>
      <c r="G623" s="19">
        <v>5</v>
      </c>
      <c r="H623" s="20">
        <v>2500</v>
      </c>
      <c r="I623" s="24">
        <v>0.05</v>
      </c>
      <c r="J623" s="28">
        <f>Table2[[#This Row],[Quantity]]*Table2[[#This Row],[Unit_Price]]</f>
        <v>12500</v>
      </c>
      <c r="K623" s="31">
        <f t="shared" si="9"/>
        <v>11875</v>
      </c>
      <c r="L623" s="31">
        <f>Table2[[#This Row],[gross sales]]-Table2[[#This Row],[net sale]]</f>
        <v>625</v>
      </c>
      <c r="M623" s="37" t="str">
        <f>TEXT(B623,"mmm")</f>
        <v>Jun</v>
      </c>
    </row>
    <row r="624" spans="1:13">
      <c r="A624" s="16">
        <v>1623</v>
      </c>
      <c r="B624" s="15">
        <v>45990</v>
      </c>
      <c r="C624" s="16" t="s">
        <v>33</v>
      </c>
      <c r="D624" s="16" t="s">
        <v>10</v>
      </c>
      <c r="E624" s="16" t="s">
        <v>11</v>
      </c>
      <c r="F624" s="16" t="s">
        <v>12</v>
      </c>
      <c r="G624" s="16">
        <v>6</v>
      </c>
      <c r="H624" s="17">
        <v>2500</v>
      </c>
      <c r="I624" s="23">
        <v>0.15</v>
      </c>
      <c r="J624" s="28">
        <f>Table2[[#This Row],[Quantity]]*Table2[[#This Row],[Unit_Price]]</f>
        <v>15000</v>
      </c>
      <c r="K624" s="31">
        <f t="shared" si="9"/>
        <v>12750</v>
      </c>
      <c r="L624" s="31">
        <f>Table2[[#This Row],[gross sales]]-Table2[[#This Row],[net sale]]</f>
        <v>2250</v>
      </c>
      <c r="M624" s="36" t="str">
        <f>TEXT(B624,"mmm")</f>
        <v>Nov</v>
      </c>
    </row>
    <row r="625" spans="1:13">
      <c r="A625" s="19">
        <v>1624</v>
      </c>
      <c r="B625" s="18">
        <v>45998</v>
      </c>
      <c r="C625" s="19" t="s">
        <v>28</v>
      </c>
      <c r="D625" s="19" t="s">
        <v>26</v>
      </c>
      <c r="E625" s="19" t="s">
        <v>11</v>
      </c>
      <c r="F625" s="19" t="s">
        <v>27</v>
      </c>
      <c r="G625" s="19">
        <v>6</v>
      </c>
      <c r="H625" s="20">
        <v>9000</v>
      </c>
      <c r="I625" s="24">
        <v>0.1</v>
      </c>
      <c r="J625" s="28">
        <f>Table2[[#This Row],[Quantity]]*Table2[[#This Row],[Unit_Price]]</f>
        <v>54000</v>
      </c>
      <c r="K625" s="31">
        <f t="shared" si="9"/>
        <v>48600</v>
      </c>
      <c r="L625" s="31">
        <f>Table2[[#This Row],[gross sales]]-Table2[[#This Row],[net sale]]</f>
        <v>5400</v>
      </c>
      <c r="M625" s="37" t="str">
        <f>TEXT(B625,"mmm")</f>
        <v>Dec</v>
      </c>
    </row>
    <row r="626" spans="1:13">
      <c r="A626" s="16">
        <v>1625</v>
      </c>
      <c r="B626" s="15">
        <v>45723</v>
      </c>
      <c r="C626" s="16" t="s">
        <v>13</v>
      </c>
      <c r="D626" s="16" t="s">
        <v>10</v>
      </c>
      <c r="E626" s="16" t="s">
        <v>22</v>
      </c>
      <c r="F626" s="16" t="s">
        <v>18</v>
      </c>
      <c r="G626" s="16">
        <v>1</v>
      </c>
      <c r="H626" s="17">
        <v>1200</v>
      </c>
      <c r="I626" s="23">
        <v>0.15</v>
      </c>
      <c r="J626" s="28">
        <f>Table2[[#This Row],[Quantity]]*Table2[[#This Row],[Unit_Price]]</f>
        <v>1200</v>
      </c>
      <c r="K626" s="31">
        <f t="shared" si="9"/>
        <v>1020</v>
      </c>
      <c r="L626" s="31">
        <f>Table2[[#This Row],[gross sales]]-Table2[[#This Row],[net sale]]</f>
        <v>180</v>
      </c>
      <c r="M626" s="36" t="str">
        <f>TEXT(B626,"mmm")</f>
        <v>Mar</v>
      </c>
    </row>
    <row r="627" spans="1:13">
      <c r="A627" s="19">
        <v>1626</v>
      </c>
      <c r="B627" s="18">
        <v>45751</v>
      </c>
      <c r="C627" s="19" t="s">
        <v>28</v>
      </c>
      <c r="D627" s="19" t="s">
        <v>26</v>
      </c>
      <c r="E627" s="19" t="s">
        <v>17</v>
      </c>
      <c r="F627" s="19" t="s">
        <v>24</v>
      </c>
      <c r="G627" s="19">
        <v>11</v>
      </c>
      <c r="H627" s="20">
        <v>9000</v>
      </c>
      <c r="I627" s="24">
        <v>0.12</v>
      </c>
      <c r="J627" s="28">
        <f>Table2[[#This Row],[Quantity]]*Table2[[#This Row],[Unit_Price]]</f>
        <v>99000</v>
      </c>
      <c r="K627" s="31">
        <f t="shared" si="9"/>
        <v>87120</v>
      </c>
      <c r="L627" s="31">
        <f>Table2[[#This Row],[gross sales]]-Table2[[#This Row],[net sale]]</f>
        <v>11880</v>
      </c>
      <c r="M627" s="37" t="str">
        <f>TEXT(B627,"mmm")</f>
        <v>Apr</v>
      </c>
    </row>
    <row r="628" spans="1:13">
      <c r="A628" s="16">
        <v>1627</v>
      </c>
      <c r="B628" s="15">
        <v>45912</v>
      </c>
      <c r="C628" s="16" t="s">
        <v>13</v>
      </c>
      <c r="D628" s="16" t="s">
        <v>10</v>
      </c>
      <c r="E628" s="16" t="s">
        <v>14</v>
      </c>
      <c r="F628" s="16" t="s">
        <v>12</v>
      </c>
      <c r="G628" s="16">
        <v>11</v>
      </c>
      <c r="H628" s="17">
        <v>1200</v>
      </c>
      <c r="I628" s="23">
        <v>0.15</v>
      </c>
      <c r="J628" s="28">
        <f>Table2[[#This Row],[Quantity]]*Table2[[#This Row],[Unit_Price]]</f>
        <v>13200</v>
      </c>
      <c r="K628" s="31">
        <f t="shared" si="9"/>
        <v>11220</v>
      </c>
      <c r="L628" s="31">
        <f>Table2[[#This Row],[gross sales]]-Table2[[#This Row],[net sale]]</f>
        <v>1980</v>
      </c>
      <c r="M628" s="36" t="str">
        <f>TEXT(B628,"mmm")</f>
        <v>Sep</v>
      </c>
    </row>
    <row r="629" spans="1:13">
      <c r="A629" s="19">
        <v>1628</v>
      </c>
      <c r="B629" s="18">
        <v>45835</v>
      </c>
      <c r="C629" s="19" t="s">
        <v>33</v>
      </c>
      <c r="D629" s="19" t="s">
        <v>10</v>
      </c>
      <c r="E629" s="19" t="s">
        <v>14</v>
      </c>
      <c r="F629" s="19" t="s">
        <v>23</v>
      </c>
      <c r="G629" s="19">
        <v>6</v>
      </c>
      <c r="H629" s="20">
        <v>2500</v>
      </c>
      <c r="I629" s="24">
        <v>0.15</v>
      </c>
      <c r="J629" s="28">
        <f>Table2[[#This Row],[Quantity]]*Table2[[#This Row],[Unit_Price]]</f>
        <v>15000</v>
      </c>
      <c r="K629" s="31">
        <f t="shared" si="9"/>
        <v>12750</v>
      </c>
      <c r="L629" s="31">
        <f>Table2[[#This Row],[gross sales]]-Table2[[#This Row],[net sale]]</f>
        <v>2250</v>
      </c>
      <c r="M629" s="37" t="str">
        <f>TEXT(B629,"mmm")</f>
        <v>Jun</v>
      </c>
    </row>
    <row r="630" spans="1:13">
      <c r="A630" s="16">
        <v>1629</v>
      </c>
      <c r="B630" s="15">
        <v>45886</v>
      </c>
      <c r="C630" s="16" t="s">
        <v>16</v>
      </c>
      <c r="D630" s="16" t="s">
        <v>10</v>
      </c>
      <c r="E630" s="16" t="s">
        <v>17</v>
      </c>
      <c r="F630" s="16" t="s">
        <v>24</v>
      </c>
      <c r="G630" s="16">
        <v>9</v>
      </c>
      <c r="H630" s="17">
        <v>55000</v>
      </c>
      <c r="I630" s="23">
        <v>0.05</v>
      </c>
      <c r="J630" s="28">
        <f>Table2[[#This Row],[Quantity]]*Table2[[#This Row],[Unit_Price]]</f>
        <v>495000</v>
      </c>
      <c r="K630" s="31">
        <f t="shared" si="9"/>
        <v>470250</v>
      </c>
      <c r="L630" s="31">
        <f>Table2[[#This Row],[gross sales]]-Table2[[#This Row],[net sale]]</f>
        <v>24750</v>
      </c>
      <c r="M630" s="36" t="str">
        <f>TEXT(B630,"mmm")</f>
        <v>Aug</v>
      </c>
    </row>
    <row r="631" spans="1:13">
      <c r="A631" s="19">
        <v>1630</v>
      </c>
      <c r="B631" s="18">
        <v>45837</v>
      </c>
      <c r="C631" s="19" t="s">
        <v>21</v>
      </c>
      <c r="D631" s="19" t="s">
        <v>10</v>
      </c>
      <c r="E631" s="19" t="s">
        <v>14</v>
      </c>
      <c r="F631" s="19" t="s">
        <v>18</v>
      </c>
      <c r="G631" s="19">
        <v>4</v>
      </c>
      <c r="H631" s="20">
        <v>14000</v>
      </c>
      <c r="I631" s="24">
        <v>0.15</v>
      </c>
      <c r="J631" s="28">
        <f>Table2[[#This Row],[Quantity]]*Table2[[#This Row],[Unit_Price]]</f>
        <v>56000</v>
      </c>
      <c r="K631" s="31">
        <f t="shared" si="9"/>
        <v>47600</v>
      </c>
      <c r="L631" s="31">
        <f>Table2[[#This Row],[gross sales]]-Table2[[#This Row],[net sale]]</f>
        <v>8400</v>
      </c>
      <c r="M631" s="37" t="str">
        <f>TEXT(B631,"mmm")</f>
        <v>Jun</v>
      </c>
    </row>
    <row r="632" spans="1:13">
      <c r="A632" s="16">
        <v>1631</v>
      </c>
      <c r="B632" s="15">
        <v>45855</v>
      </c>
      <c r="C632" s="16" t="s">
        <v>34</v>
      </c>
      <c r="D632" s="16" t="s">
        <v>26</v>
      </c>
      <c r="E632" s="16" t="s">
        <v>22</v>
      </c>
      <c r="F632" s="16" t="s">
        <v>20</v>
      </c>
      <c r="G632" s="16">
        <v>14</v>
      </c>
      <c r="H632" s="17">
        <v>15000</v>
      </c>
      <c r="I632" s="23">
        <v>0.05</v>
      </c>
      <c r="J632" s="28">
        <f>Table2[[#This Row],[Quantity]]*Table2[[#This Row],[Unit_Price]]</f>
        <v>210000</v>
      </c>
      <c r="K632" s="31">
        <f t="shared" si="9"/>
        <v>199500</v>
      </c>
      <c r="L632" s="31">
        <f>Table2[[#This Row],[gross sales]]-Table2[[#This Row],[net sale]]</f>
        <v>10500</v>
      </c>
      <c r="M632" s="36" t="str">
        <f>TEXT(B632,"mmm")</f>
        <v>Jul</v>
      </c>
    </row>
    <row r="633" spans="1:13">
      <c r="A633" s="19">
        <v>1632</v>
      </c>
      <c r="B633" s="18">
        <v>45851</v>
      </c>
      <c r="C633" s="19" t="s">
        <v>33</v>
      </c>
      <c r="D633" s="19" t="s">
        <v>10</v>
      </c>
      <c r="E633" s="19" t="s">
        <v>14</v>
      </c>
      <c r="F633" s="19" t="s">
        <v>20</v>
      </c>
      <c r="G633" s="19">
        <v>18</v>
      </c>
      <c r="H633" s="20">
        <v>2500</v>
      </c>
      <c r="I633" s="24">
        <v>0.1</v>
      </c>
      <c r="J633" s="28">
        <f>Table2[[#This Row],[Quantity]]*Table2[[#This Row],[Unit_Price]]</f>
        <v>45000</v>
      </c>
      <c r="K633" s="31">
        <f t="shared" si="9"/>
        <v>40500</v>
      </c>
      <c r="L633" s="31">
        <f>Table2[[#This Row],[gross sales]]-Table2[[#This Row],[net sale]]</f>
        <v>4500</v>
      </c>
      <c r="M633" s="37" t="str">
        <f>TEXT(B633,"mmm")</f>
        <v>Jul</v>
      </c>
    </row>
    <row r="634" spans="1:13">
      <c r="A634" s="16">
        <v>1633</v>
      </c>
      <c r="B634" s="15">
        <v>45953</v>
      </c>
      <c r="C634" s="16" t="s">
        <v>29</v>
      </c>
      <c r="D634" s="16" t="s">
        <v>30</v>
      </c>
      <c r="E634" s="16" t="s">
        <v>22</v>
      </c>
      <c r="F634" s="16" t="s">
        <v>24</v>
      </c>
      <c r="G634" s="16">
        <v>8</v>
      </c>
      <c r="H634" s="16">
        <v>250</v>
      </c>
      <c r="I634" s="23">
        <v>0.05</v>
      </c>
      <c r="J634" s="28">
        <f>Table2[[#This Row],[Quantity]]*Table2[[#This Row],[Unit_Price]]</f>
        <v>2000</v>
      </c>
      <c r="K634" s="31">
        <f t="shared" si="9"/>
        <v>1900</v>
      </c>
      <c r="L634" s="31">
        <f>Table2[[#This Row],[gross sales]]-Table2[[#This Row],[net sale]]</f>
        <v>100</v>
      </c>
      <c r="M634" s="36" t="str">
        <f>TEXT(B634,"mmm")</f>
        <v>Oct</v>
      </c>
    </row>
    <row r="635" spans="1:13">
      <c r="A635" s="19">
        <v>1634</v>
      </c>
      <c r="B635" s="18">
        <v>45675</v>
      </c>
      <c r="C635" s="19" t="s">
        <v>21</v>
      </c>
      <c r="D635" s="19" t="s">
        <v>10</v>
      </c>
      <c r="E635" s="19" t="s">
        <v>11</v>
      </c>
      <c r="F635" s="19" t="s">
        <v>24</v>
      </c>
      <c r="G635" s="19">
        <v>1</v>
      </c>
      <c r="H635" s="20">
        <v>14000</v>
      </c>
      <c r="I635" s="24">
        <v>0.08</v>
      </c>
      <c r="J635" s="28">
        <f>Table2[[#This Row],[Quantity]]*Table2[[#This Row],[Unit_Price]]</f>
        <v>14000</v>
      </c>
      <c r="K635" s="31">
        <f t="shared" si="9"/>
        <v>12880</v>
      </c>
      <c r="L635" s="31">
        <f>Table2[[#This Row],[gross sales]]-Table2[[#This Row],[net sale]]</f>
        <v>1120</v>
      </c>
      <c r="M635" s="37" t="str">
        <f>TEXT(B635,"mmm")</f>
        <v>Jan</v>
      </c>
    </row>
    <row r="636" spans="1:13">
      <c r="A636" s="16">
        <v>1635</v>
      </c>
      <c r="B636" s="15">
        <v>45695</v>
      </c>
      <c r="C636" s="16" t="s">
        <v>33</v>
      </c>
      <c r="D636" s="16" t="s">
        <v>10</v>
      </c>
      <c r="E636" s="16" t="s">
        <v>17</v>
      </c>
      <c r="F636" s="16" t="s">
        <v>24</v>
      </c>
      <c r="G636" s="16">
        <v>6</v>
      </c>
      <c r="H636" s="17">
        <v>2500</v>
      </c>
      <c r="I636" s="23">
        <v>0.1</v>
      </c>
      <c r="J636" s="28">
        <f>Table2[[#This Row],[Quantity]]*Table2[[#This Row],[Unit_Price]]</f>
        <v>15000</v>
      </c>
      <c r="K636" s="31">
        <f t="shared" si="9"/>
        <v>13500</v>
      </c>
      <c r="L636" s="31">
        <f>Table2[[#This Row],[gross sales]]-Table2[[#This Row],[net sale]]</f>
        <v>1500</v>
      </c>
      <c r="M636" s="36" t="str">
        <f>TEXT(B636,"mmm")</f>
        <v>Feb</v>
      </c>
    </row>
    <row r="637" spans="1:13">
      <c r="A637" s="19">
        <v>1636</v>
      </c>
      <c r="B637" s="18">
        <v>45938</v>
      </c>
      <c r="C637" s="19" t="s">
        <v>37</v>
      </c>
      <c r="D637" s="19" t="s">
        <v>36</v>
      </c>
      <c r="E637" s="19" t="s">
        <v>22</v>
      </c>
      <c r="F637" s="19" t="s">
        <v>18</v>
      </c>
      <c r="G637" s="19">
        <v>3</v>
      </c>
      <c r="H637" s="20">
        <v>1800</v>
      </c>
      <c r="I637" s="24">
        <v>0.08</v>
      </c>
      <c r="J637" s="28">
        <f>Table2[[#This Row],[Quantity]]*Table2[[#This Row],[Unit_Price]]</f>
        <v>5400</v>
      </c>
      <c r="K637" s="31">
        <f t="shared" si="9"/>
        <v>4968</v>
      </c>
      <c r="L637" s="31">
        <f>Table2[[#This Row],[gross sales]]-Table2[[#This Row],[net sale]]</f>
        <v>432</v>
      </c>
      <c r="M637" s="37" t="str">
        <f>TEXT(B637,"mmm")</f>
        <v>Oct</v>
      </c>
    </row>
    <row r="638" spans="1:13">
      <c r="A638" s="16">
        <v>1637</v>
      </c>
      <c r="B638" s="15">
        <v>45878</v>
      </c>
      <c r="C638" s="16" t="s">
        <v>29</v>
      </c>
      <c r="D638" s="16" t="s">
        <v>30</v>
      </c>
      <c r="E638" s="16" t="s">
        <v>22</v>
      </c>
      <c r="F638" s="16" t="s">
        <v>32</v>
      </c>
      <c r="G638" s="16">
        <v>6</v>
      </c>
      <c r="H638" s="16">
        <v>250</v>
      </c>
      <c r="I638" s="23">
        <v>0.12</v>
      </c>
      <c r="J638" s="28">
        <f>Table2[[#This Row],[Quantity]]*Table2[[#This Row],[Unit_Price]]</f>
        <v>1500</v>
      </c>
      <c r="K638" s="31">
        <f t="shared" si="9"/>
        <v>1320</v>
      </c>
      <c r="L638" s="31">
        <f>Table2[[#This Row],[gross sales]]-Table2[[#This Row],[net sale]]</f>
        <v>180</v>
      </c>
      <c r="M638" s="36" t="str">
        <f>TEXT(B638,"mmm")</f>
        <v>Aug</v>
      </c>
    </row>
    <row r="639" spans="1:13">
      <c r="A639" s="19">
        <v>1638</v>
      </c>
      <c r="B639" s="18">
        <v>45685</v>
      </c>
      <c r="C639" s="19" t="s">
        <v>9</v>
      </c>
      <c r="D639" s="19" t="s">
        <v>10</v>
      </c>
      <c r="E639" s="19" t="s">
        <v>17</v>
      </c>
      <c r="F639" s="19" t="s">
        <v>15</v>
      </c>
      <c r="G639" s="19">
        <v>11</v>
      </c>
      <c r="H639" s="20">
        <v>18000</v>
      </c>
      <c r="I639" s="24">
        <v>0.05</v>
      </c>
      <c r="J639" s="28">
        <f>Table2[[#This Row],[Quantity]]*Table2[[#This Row],[Unit_Price]]</f>
        <v>198000</v>
      </c>
      <c r="K639" s="31">
        <f t="shared" si="9"/>
        <v>188100</v>
      </c>
      <c r="L639" s="31">
        <f>Table2[[#This Row],[gross sales]]-Table2[[#This Row],[net sale]]</f>
        <v>9900</v>
      </c>
      <c r="M639" s="37" t="str">
        <f>TEXT(B639,"mmm")</f>
        <v>Jan</v>
      </c>
    </row>
    <row r="640" spans="1:13">
      <c r="A640" s="16">
        <v>1639</v>
      </c>
      <c r="B640" s="15">
        <v>46014</v>
      </c>
      <c r="C640" s="16" t="s">
        <v>25</v>
      </c>
      <c r="D640" s="16" t="s">
        <v>26</v>
      </c>
      <c r="E640" s="16" t="s">
        <v>11</v>
      </c>
      <c r="F640" s="16" t="s">
        <v>27</v>
      </c>
      <c r="G640" s="16">
        <v>18</v>
      </c>
      <c r="H640" s="17">
        <v>11000</v>
      </c>
      <c r="I640" s="23">
        <v>0.08</v>
      </c>
      <c r="J640" s="28">
        <f>Table2[[#This Row],[Quantity]]*Table2[[#This Row],[Unit_Price]]</f>
        <v>198000</v>
      </c>
      <c r="K640" s="31">
        <f t="shared" si="9"/>
        <v>182160</v>
      </c>
      <c r="L640" s="31">
        <f>Table2[[#This Row],[gross sales]]-Table2[[#This Row],[net sale]]</f>
        <v>15840</v>
      </c>
      <c r="M640" s="36" t="str">
        <f>TEXT(B640,"mmm")</f>
        <v>Dec</v>
      </c>
    </row>
    <row r="641" spans="1:13">
      <c r="A641" s="19">
        <v>1640</v>
      </c>
      <c r="B641" s="18">
        <v>45779</v>
      </c>
      <c r="C641" s="19" t="s">
        <v>9</v>
      </c>
      <c r="D641" s="19" t="s">
        <v>10</v>
      </c>
      <c r="E641" s="19" t="s">
        <v>22</v>
      </c>
      <c r="F641" s="19" t="s">
        <v>32</v>
      </c>
      <c r="G641" s="19">
        <v>2</v>
      </c>
      <c r="H641" s="20">
        <v>18000</v>
      </c>
      <c r="I641" s="24">
        <v>0.1</v>
      </c>
      <c r="J641" s="28">
        <f>Table2[[#This Row],[Quantity]]*Table2[[#This Row],[Unit_Price]]</f>
        <v>36000</v>
      </c>
      <c r="K641" s="31">
        <f t="shared" si="9"/>
        <v>32400</v>
      </c>
      <c r="L641" s="31">
        <f>Table2[[#This Row],[gross sales]]-Table2[[#This Row],[net sale]]</f>
        <v>3600</v>
      </c>
      <c r="M641" s="37" t="str">
        <f>TEXT(B641,"mmm")</f>
        <v>May</v>
      </c>
    </row>
    <row r="642" spans="1:13">
      <c r="A642" s="16">
        <v>1641</v>
      </c>
      <c r="B642" s="15">
        <v>45685</v>
      </c>
      <c r="C642" s="16" t="s">
        <v>33</v>
      </c>
      <c r="D642" s="16" t="s">
        <v>10</v>
      </c>
      <c r="E642" s="16" t="s">
        <v>14</v>
      </c>
      <c r="F642" s="16" t="s">
        <v>27</v>
      </c>
      <c r="G642" s="16">
        <v>1</v>
      </c>
      <c r="H642" s="17">
        <v>2500</v>
      </c>
      <c r="I642" s="23">
        <v>0.1</v>
      </c>
      <c r="J642" s="28">
        <f>Table2[[#This Row],[Quantity]]*Table2[[#This Row],[Unit_Price]]</f>
        <v>2500</v>
      </c>
      <c r="K642" s="31">
        <f t="shared" ref="K642:K705" si="10">J642*(1-I642)</f>
        <v>2250</v>
      </c>
      <c r="L642" s="31">
        <f>Table2[[#This Row],[gross sales]]-Table2[[#This Row],[net sale]]</f>
        <v>250</v>
      </c>
      <c r="M642" s="36" t="str">
        <f>TEXT(B642,"mmm")</f>
        <v>Jan</v>
      </c>
    </row>
    <row r="643" spans="1:13">
      <c r="A643" s="19">
        <v>1642</v>
      </c>
      <c r="B643" s="18">
        <v>45996</v>
      </c>
      <c r="C643" s="19" t="s">
        <v>29</v>
      </c>
      <c r="D643" s="19" t="s">
        <v>30</v>
      </c>
      <c r="E643" s="19" t="s">
        <v>17</v>
      </c>
      <c r="F643" s="19" t="s">
        <v>24</v>
      </c>
      <c r="G643" s="19">
        <v>20</v>
      </c>
      <c r="H643" s="19">
        <v>250</v>
      </c>
      <c r="I643" s="24">
        <v>0.1</v>
      </c>
      <c r="J643" s="28">
        <f>Table2[[#This Row],[Quantity]]*Table2[[#This Row],[Unit_Price]]</f>
        <v>5000</v>
      </c>
      <c r="K643" s="31">
        <f t="shared" si="10"/>
        <v>4500</v>
      </c>
      <c r="L643" s="31">
        <f>Table2[[#This Row],[gross sales]]-Table2[[#This Row],[net sale]]</f>
        <v>500</v>
      </c>
      <c r="M643" s="37" t="str">
        <f>TEXT(B643,"mmm")</f>
        <v>Dec</v>
      </c>
    </row>
    <row r="644" spans="1:13">
      <c r="A644" s="16">
        <v>1643</v>
      </c>
      <c r="B644" s="15">
        <v>45671</v>
      </c>
      <c r="C644" s="16" t="s">
        <v>19</v>
      </c>
      <c r="D644" s="16" t="s">
        <v>10</v>
      </c>
      <c r="E644" s="16" t="s">
        <v>11</v>
      </c>
      <c r="F644" s="16" t="s">
        <v>24</v>
      </c>
      <c r="G644" s="16">
        <v>6</v>
      </c>
      <c r="H644" s="16">
        <v>800</v>
      </c>
      <c r="I644" s="23">
        <v>0.15</v>
      </c>
      <c r="J644" s="28">
        <f>Table2[[#This Row],[Quantity]]*Table2[[#This Row],[Unit_Price]]</f>
        <v>4800</v>
      </c>
      <c r="K644" s="31">
        <f t="shared" si="10"/>
        <v>4080</v>
      </c>
      <c r="L644" s="31">
        <f>Table2[[#This Row],[gross sales]]-Table2[[#This Row],[net sale]]</f>
        <v>720</v>
      </c>
      <c r="M644" s="36" t="str">
        <f>TEXT(B644,"mmm")</f>
        <v>Jan</v>
      </c>
    </row>
    <row r="645" spans="1:13">
      <c r="A645" s="19">
        <v>1644</v>
      </c>
      <c r="B645" s="18">
        <v>45900</v>
      </c>
      <c r="C645" s="19" t="s">
        <v>38</v>
      </c>
      <c r="D645" s="19" t="s">
        <v>10</v>
      </c>
      <c r="E645" s="19" t="s">
        <v>22</v>
      </c>
      <c r="F645" s="19" t="s">
        <v>20</v>
      </c>
      <c r="G645" s="19">
        <v>4</v>
      </c>
      <c r="H645" s="20">
        <v>42000</v>
      </c>
      <c r="I645" s="24">
        <v>0.08</v>
      </c>
      <c r="J645" s="28">
        <f>Table2[[#This Row],[Quantity]]*Table2[[#This Row],[Unit_Price]]</f>
        <v>168000</v>
      </c>
      <c r="K645" s="31">
        <f t="shared" si="10"/>
        <v>154560</v>
      </c>
      <c r="L645" s="31">
        <f>Table2[[#This Row],[gross sales]]-Table2[[#This Row],[net sale]]</f>
        <v>13440</v>
      </c>
      <c r="M645" s="37" t="str">
        <f>TEXT(B645,"mmm")</f>
        <v>Aug</v>
      </c>
    </row>
    <row r="646" spans="1:13">
      <c r="A646" s="16">
        <v>1645</v>
      </c>
      <c r="B646" s="15">
        <v>45908</v>
      </c>
      <c r="C646" s="16" t="s">
        <v>37</v>
      </c>
      <c r="D646" s="16" t="s">
        <v>36</v>
      </c>
      <c r="E646" s="16" t="s">
        <v>22</v>
      </c>
      <c r="F646" s="16" t="s">
        <v>32</v>
      </c>
      <c r="G646" s="16">
        <v>9</v>
      </c>
      <c r="H646" s="17">
        <v>1800</v>
      </c>
      <c r="I646" s="23">
        <v>0</v>
      </c>
      <c r="J646" s="28">
        <f>Table2[[#This Row],[Quantity]]*Table2[[#This Row],[Unit_Price]]</f>
        <v>16200</v>
      </c>
      <c r="K646" s="31">
        <f t="shared" si="10"/>
        <v>16200</v>
      </c>
      <c r="L646" s="31">
        <f>Table2[[#This Row],[gross sales]]-Table2[[#This Row],[net sale]]</f>
        <v>0</v>
      </c>
      <c r="M646" s="36" t="str">
        <f>TEXT(B646,"mmm")</f>
        <v>Sep</v>
      </c>
    </row>
    <row r="647" spans="1:13">
      <c r="A647" s="19">
        <v>1646</v>
      </c>
      <c r="B647" s="18">
        <v>45847</v>
      </c>
      <c r="C647" s="19" t="s">
        <v>37</v>
      </c>
      <c r="D647" s="19" t="s">
        <v>36</v>
      </c>
      <c r="E647" s="19" t="s">
        <v>17</v>
      </c>
      <c r="F647" s="19" t="s">
        <v>20</v>
      </c>
      <c r="G647" s="19">
        <v>13</v>
      </c>
      <c r="H647" s="20">
        <v>1800</v>
      </c>
      <c r="I647" s="24">
        <v>0.08</v>
      </c>
      <c r="J647" s="28">
        <f>Table2[[#This Row],[Quantity]]*Table2[[#This Row],[Unit_Price]]</f>
        <v>23400</v>
      </c>
      <c r="K647" s="31">
        <f t="shared" si="10"/>
        <v>21528</v>
      </c>
      <c r="L647" s="31">
        <f>Table2[[#This Row],[gross sales]]-Table2[[#This Row],[net sale]]</f>
        <v>1872</v>
      </c>
      <c r="M647" s="37" t="str">
        <f>TEXT(B647,"mmm")</f>
        <v>Jul</v>
      </c>
    </row>
    <row r="648" spans="1:13">
      <c r="A648" s="16">
        <v>1647</v>
      </c>
      <c r="B648" s="15">
        <v>45680</v>
      </c>
      <c r="C648" s="16" t="s">
        <v>21</v>
      </c>
      <c r="D648" s="16" t="s">
        <v>10</v>
      </c>
      <c r="E648" s="16" t="s">
        <v>11</v>
      </c>
      <c r="F648" s="16" t="s">
        <v>12</v>
      </c>
      <c r="G648" s="16">
        <v>15</v>
      </c>
      <c r="H648" s="17">
        <v>14000</v>
      </c>
      <c r="I648" s="23">
        <v>0.1</v>
      </c>
      <c r="J648" s="28">
        <f>Table2[[#This Row],[Quantity]]*Table2[[#This Row],[Unit_Price]]</f>
        <v>210000</v>
      </c>
      <c r="K648" s="31">
        <f t="shared" si="10"/>
        <v>189000</v>
      </c>
      <c r="L648" s="31">
        <f>Table2[[#This Row],[gross sales]]-Table2[[#This Row],[net sale]]</f>
        <v>21000</v>
      </c>
      <c r="M648" s="36" t="str">
        <f>TEXT(B648,"mmm")</f>
        <v>Jan</v>
      </c>
    </row>
    <row r="649" spans="1:13">
      <c r="A649" s="19">
        <v>1648</v>
      </c>
      <c r="B649" s="18">
        <v>45795</v>
      </c>
      <c r="C649" s="19" t="s">
        <v>28</v>
      </c>
      <c r="D649" s="19" t="s">
        <v>26</v>
      </c>
      <c r="E649" s="19" t="s">
        <v>14</v>
      </c>
      <c r="F649" s="19" t="s">
        <v>24</v>
      </c>
      <c r="G649" s="19">
        <v>2</v>
      </c>
      <c r="H649" s="20">
        <v>9000</v>
      </c>
      <c r="I649" s="24">
        <v>0.05</v>
      </c>
      <c r="J649" s="28">
        <f>Table2[[#This Row],[Quantity]]*Table2[[#This Row],[Unit_Price]]</f>
        <v>18000</v>
      </c>
      <c r="K649" s="31">
        <f t="shared" si="10"/>
        <v>17100</v>
      </c>
      <c r="L649" s="31">
        <f>Table2[[#This Row],[gross sales]]-Table2[[#This Row],[net sale]]</f>
        <v>900</v>
      </c>
      <c r="M649" s="37" t="str">
        <f>TEXT(B649,"mmm")</f>
        <v>May</v>
      </c>
    </row>
    <row r="650" spans="1:13">
      <c r="A650" s="16">
        <v>1649</v>
      </c>
      <c r="B650" s="15">
        <v>46000</v>
      </c>
      <c r="C650" s="16" t="s">
        <v>33</v>
      </c>
      <c r="D650" s="16" t="s">
        <v>10</v>
      </c>
      <c r="E650" s="16" t="s">
        <v>17</v>
      </c>
      <c r="F650" s="16" t="s">
        <v>18</v>
      </c>
      <c r="G650" s="16">
        <v>18</v>
      </c>
      <c r="H650" s="17">
        <v>2500</v>
      </c>
      <c r="I650" s="23">
        <v>0.1</v>
      </c>
      <c r="J650" s="28">
        <f>Table2[[#This Row],[Quantity]]*Table2[[#This Row],[Unit_Price]]</f>
        <v>45000</v>
      </c>
      <c r="K650" s="31">
        <f t="shared" si="10"/>
        <v>40500</v>
      </c>
      <c r="L650" s="31">
        <f>Table2[[#This Row],[gross sales]]-Table2[[#This Row],[net sale]]</f>
        <v>4500</v>
      </c>
      <c r="M650" s="36" t="str">
        <f>TEXT(B650,"mmm")</f>
        <v>Dec</v>
      </c>
    </row>
    <row r="651" spans="1:13">
      <c r="A651" s="19">
        <v>1650</v>
      </c>
      <c r="B651" s="18">
        <v>45856</v>
      </c>
      <c r="C651" s="19" t="s">
        <v>38</v>
      </c>
      <c r="D651" s="19" t="s">
        <v>10</v>
      </c>
      <c r="E651" s="19" t="s">
        <v>22</v>
      </c>
      <c r="F651" s="19" t="s">
        <v>12</v>
      </c>
      <c r="G651" s="19">
        <v>17</v>
      </c>
      <c r="H651" s="20">
        <v>42000</v>
      </c>
      <c r="I651" s="24">
        <v>0.1</v>
      </c>
      <c r="J651" s="28">
        <f>Table2[[#This Row],[Quantity]]*Table2[[#This Row],[Unit_Price]]</f>
        <v>714000</v>
      </c>
      <c r="K651" s="31">
        <f t="shared" si="10"/>
        <v>642600</v>
      </c>
      <c r="L651" s="31">
        <f>Table2[[#This Row],[gross sales]]-Table2[[#This Row],[net sale]]</f>
        <v>71400</v>
      </c>
      <c r="M651" s="37" t="str">
        <f>TEXT(B651,"mmm")</f>
        <v>Jul</v>
      </c>
    </row>
    <row r="652" spans="1:13">
      <c r="A652" s="16">
        <v>1651</v>
      </c>
      <c r="B652" s="15">
        <v>45901</v>
      </c>
      <c r="C652" s="16" t="s">
        <v>21</v>
      </c>
      <c r="D652" s="16" t="s">
        <v>10</v>
      </c>
      <c r="E652" s="16" t="s">
        <v>14</v>
      </c>
      <c r="F652" s="16" t="s">
        <v>32</v>
      </c>
      <c r="G652" s="16">
        <v>3</v>
      </c>
      <c r="H652" s="17">
        <v>14000</v>
      </c>
      <c r="I652" s="23">
        <v>0.1</v>
      </c>
      <c r="J652" s="28">
        <f>Table2[[#This Row],[Quantity]]*Table2[[#This Row],[Unit_Price]]</f>
        <v>42000</v>
      </c>
      <c r="K652" s="31">
        <f t="shared" si="10"/>
        <v>37800</v>
      </c>
      <c r="L652" s="31">
        <f>Table2[[#This Row],[gross sales]]-Table2[[#This Row],[net sale]]</f>
        <v>4200</v>
      </c>
      <c r="M652" s="36" t="str">
        <f>TEXT(B652,"mmm")</f>
        <v>Sep</v>
      </c>
    </row>
    <row r="653" spans="1:13">
      <c r="A653" s="19">
        <v>1652</v>
      </c>
      <c r="B653" s="18">
        <v>45719</v>
      </c>
      <c r="C653" s="19" t="s">
        <v>35</v>
      </c>
      <c r="D653" s="19" t="s">
        <v>36</v>
      </c>
      <c r="E653" s="19" t="s">
        <v>17</v>
      </c>
      <c r="F653" s="19" t="s">
        <v>12</v>
      </c>
      <c r="G653" s="19">
        <v>15</v>
      </c>
      <c r="H653" s="20">
        <v>3500</v>
      </c>
      <c r="I653" s="24">
        <v>0.05</v>
      </c>
      <c r="J653" s="28">
        <f>Table2[[#This Row],[Quantity]]*Table2[[#This Row],[Unit_Price]]</f>
        <v>52500</v>
      </c>
      <c r="K653" s="31">
        <f t="shared" si="10"/>
        <v>49875</v>
      </c>
      <c r="L653" s="31">
        <f>Table2[[#This Row],[gross sales]]-Table2[[#This Row],[net sale]]</f>
        <v>2625</v>
      </c>
      <c r="M653" s="37" t="str">
        <f>TEXT(B653,"mmm")</f>
        <v>Mar</v>
      </c>
    </row>
    <row r="654" spans="1:13">
      <c r="A654" s="16">
        <v>1653</v>
      </c>
      <c r="B654" s="15">
        <v>45756</v>
      </c>
      <c r="C654" s="16" t="s">
        <v>13</v>
      </c>
      <c r="D654" s="16" t="s">
        <v>10</v>
      </c>
      <c r="E654" s="16" t="s">
        <v>14</v>
      </c>
      <c r="F654" s="16" t="s">
        <v>15</v>
      </c>
      <c r="G654" s="16">
        <v>2</v>
      </c>
      <c r="H654" s="17">
        <v>1200</v>
      </c>
      <c r="I654" s="23">
        <v>0.1</v>
      </c>
      <c r="J654" s="28">
        <f>Table2[[#This Row],[Quantity]]*Table2[[#This Row],[Unit_Price]]</f>
        <v>2400</v>
      </c>
      <c r="K654" s="31">
        <f t="shared" si="10"/>
        <v>2160</v>
      </c>
      <c r="L654" s="31">
        <f>Table2[[#This Row],[gross sales]]-Table2[[#This Row],[net sale]]</f>
        <v>240</v>
      </c>
      <c r="M654" s="36" t="str">
        <f>TEXT(B654,"mmm")</f>
        <v>Apr</v>
      </c>
    </row>
    <row r="655" spans="1:13">
      <c r="A655" s="19">
        <v>1654</v>
      </c>
      <c r="B655" s="18">
        <v>45761</v>
      </c>
      <c r="C655" s="19" t="s">
        <v>38</v>
      </c>
      <c r="D655" s="19" t="s">
        <v>10</v>
      </c>
      <c r="E655" s="19" t="s">
        <v>11</v>
      </c>
      <c r="F655" s="19" t="s">
        <v>23</v>
      </c>
      <c r="G655" s="19">
        <v>5</v>
      </c>
      <c r="H655" s="20">
        <v>42000</v>
      </c>
      <c r="I655" s="24">
        <v>0.12</v>
      </c>
      <c r="J655" s="28">
        <f>Table2[[#This Row],[Quantity]]*Table2[[#This Row],[Unit_Price]]</f>
        <v>210000</v>
      </c>
      <c r="K655" s="31">
        <f t="shared" si="10"/>
        <v>184800</v>
      </c>
      <c r="L655" s="31">
        <f>Table2[[#This Row],[gross sales]]-Table2[[#This Row],[net sale]]</f>
        <v>25200</v>
      </c>
      <c r="M655" s="37" t="str">
        <f>TEXT(B655,"mmm")</f>
        <v>Apr</v>
      </c>
    </row>
    <row r="656" spans="1:13">
      <c r="A656" s="16">
        <v>1655</v>
      </c>
      <c r="B656" s="15">
        <v>45692</v>
      </c>
      <c r="C656" s="16" t="s">
        <v>9</v>
      </c>
      <c r="D656" s="16" t="s">
        <v>10</v>
      </c>
      <c r="E656" s="16" t="s">
        <v>22</v>
      </c>
      <c r="F656" s="16" t="s">
        <v>23</v>
      </c>
      <c r="G656" s="16">
        <v>13</v>
      </c>
      <c r="H656" s="17">
        <v>18000</v>
      </c>
      <c r="I656" s="23">
        <v>0.12</v>
      </c>
      <c r="J656" s="28">
        <f>Table2[[#This Row],[Quantity]]*Table2[[#This Row],[Unit_Price]]</f>
        <v>234000</v>
      </c>
      <c r="K656" s="31">
        <f t="shared" si="10"/>
        <v>205920</v>
      </c>
      <c r="L656" s="31">
        <f>Table2[[#This Row],[gross sales]]-Table2[[#This Row],[net sale]]</f>
        <v>28080</v>
      </c>
      <c r="M656" s="36" t="str">
        <f>TEXT(B656,"mmm")</f>
        <v>Feb</v>
      </c>
    </row>
    <row r="657" spans="1:13">
      <c r="A657" s="19">
        <v>1656</v>
      </c>
      <c r="B657" s="18">
        <v>45799</v>
      </c>
      <c r="C657" s="19" t="s">
        <v>25</v>
      </c>
      <c r="D657" s="19" t="s">
        <v>26</v>
      </c>
      <c r="E657" s="19" t="s">
        <v>22</v>
      </c>
      <c r="F657" s="19" t="s">
        <v>24</v>
      </c>
      <c r="G657" s="19">
        <v>15</v>
      </c>
      <c r="H657" s="20">
        <v>11000</v>
      </c>
      <c r="I657" s="24">
        <v>0</v>
      </c>
      <c r="J657" s="28">
        <f>Table2[[#This Row],[Quantity]]*Table2[[#This Row],[Unit_Price]]</f>
        <v>165000</v>
      </c>
      <c r="K657" s="31">
        <f t="shared" si="10"/>
        <v>165000</v>
      </c>
      <c r="L657" s="31">
        <f>Table2[[#This Row],[gross sales]]-Table2[[#This Row],[net sale]]</f>
        <v>0</v>
      </c>
      <c r="M657" s="37" t="str">
        <f>TEXT(B657,"mmm")</f>
        <v>May</v>
      </c>
    </row>
    <row r="658" spans="1:13">
      <c r="A658" s="16">
        <v>1657</v>
      </c>
      <c r="B658" s="15">
        <v>45870</v>
      </c>
      <c r="C658" s="16" t="s">
        <v>13</v>
      </c>
      <c r="D658" s="16" t="s">
        <v>10</v>
      </c>
      <c r="E658" s="16" t="s">
        <v>14</v>
      </c>
      <c r="F658" s="16" t="s">
        <v>24</v>
      </c>
      <c r="G658" s="16">
        <v>5</v>
      </c>
      <c r="H658" s="17">
        <v>1200</v>
      </c>
      <c r="I658" s="23">
        <v>0.12</v>
      </c>
      <c r="J658" s="28">
        <f>Table2[[#This Row],[Quantity]]*Table2[[#This Row],[Unit_Price]]</f>
        <v>6000</v>
      </c>
      <c r="K658" s="31">
        <f t="shared" si="10"/>
        <v>5280</v>
      </c>
      <c r="L658" s="31">
        <f>Table2[[#This Row],[gross sales]]-Table2[[#This Row],[net sale]]</f>
        <v>720</v>
      </c>
      <c r="M658" s="36" t="str">
        <f>TEXT(B658,"mmm")</f>
        <v>Aug</v>
      </c>
    </row>
    <row r="659" spans="1:13">
      <c r="A659" s="19">
        <v>1658</v>
      </c>
      <c r="B659" s="18">
        <v>45946</v>
      </c>
      <c r="C659" s="19" t="s">
        <v>35</v>
      </c>
      <c r="D659" s="19" t="s">
        <v>36</v>
      </c>
      <c r="E659" s="19" t="s">
        <v>11</v>
      </c>
      <c r="F659" s="19" t="s">
        <v>15</v>
      </c>
      <c r="G659" s="19">
        <v>4</v>
      </c>
      <c r="H659" s="20">
        <v>3500</v>
      </c>
      <c r="I659" s="24">
        <v>0.08</v>
      </c>
      <c r="J659" s="28">
        <f>Table2[[#This Row],[Quantity]]*Table2[[#This Row],[Unit_Price]]</f>
        <v>14000</v>
      </c>
      <c r="K659" s="31">
        <f t="shared" si="10"/>
        <v>12880</v>
      </c>
      <c r="L659" s="31">
        <f>Table2[[#This Row],[gross sales]]-Table2[[#This Row],[net sale]]</f>
        <v>1120</v>
      </c>
      <c r="M659" s="37" t="str">
        <f>TEXT(B659,"mmm")</f>
        <v>Oct</v>
      </c>
    </row>
    <row r="660" spans="1:13">
      <c r="A660" s="16">
        <v>1659</v>
      </c>
      <c r="B660" s="15">
        <v>45793</v>
      </c>
      <c r="C660" s="16" t="s">
        <v>31</v>
      </c>
      <c r="D660" s="16" t="s">
        <v>26</v>
      </c>
      <c r="E660" s="16" t="s">
        <v>22</v>
      </c>
      <c r="F660" s="16" t="s">
        <v>18</v>
      </c>
      <c r="G660" s="16">
        <v>16</v>
      </c>
      <c r="H660" s="17">
        <v>8500</v>
      </c>
      <c r="I660" s="23">
        <v>0.12</v>
      </c>
      <c r="J660" s="28">
        <f>Table2[[#This Row],[Quantity]]*Table2[[#This Row],[Unit_Price]]</f>
        <v>136000</v>
      </c>
      <c r="K660" s="31">
        <f t="shared" si="10"/>
        <v>119680</v>
      </c>
      <c r="L660" s="31">
        <f>Table2[[#This Row],[gross sales]]-Table2[[#This Row],[net sale]]</f>
        <v>16320</v>
      </c>
      <c r="M660" s="36" t="str">
        <f>TEXT(B660,"mmm")</f>
        <v>May</v>
      </c>
    </row>
    <row r="661" spans="1:13">
      <c r="A661" s="19">
        <v>1660</v>
      </c>
      <c r="B661" s="18">
        <v>45746</v>
      </c>
      <c r="C661" s="19" t="s">
        <v>21</v>
      </c>
      <c r="D661" s="19" t="s">
        <v>10</v>
      </c>
      <c r="E661" s="19" t="s">
        <v>22</v>
      </c>
      <c r="F661" s="19" t="s">
        <v>18</v>
      </c>
      <c r="G661" s="19">
        <v>13</v>
      </c>
      <c r="H661" s="20">
        <v>14000</v>
      </c>
      <c r="I661" s="24">
        <v>0.05</v>
      </c>
      <c r="J661" s="28">
        <f>Table2[[#This Row],[Quantity]]*Table2[[#This Row],[Unit_Price]]</f>
        <v>182000</v>
      </c>
      <c r="K661" s="31">
        <f t="shared" si="10"/>
        <v>172900</v>
      </c>
      <c r="L661" s="31">
        <f>Table2[[#This Row],[gross sales]]-Table2[[#This Row],[net sale]]</f>
        <v>9100</v>
      </c>
      <c r="M661" s="37" t="str">
        <f>TEXT(B661,"mmm")</f>
        <v>Mar</v>
      </c>
    </row>
    <row r="662" spans="1:13">
      <c r="A662" s="16">
        <v>1661</v>
      </c>
      <c r="B662" s="15">
        <v>45860</v>
      </c>
      <c r="C662" s="16" t="s">
        <v>37</v>
      </c>
      <c r="D662" s="16" t="s">
        <v>36</v>
      </c>
      <c r="E662" s="16" t="s">
        <v>17</v>
      </c>
      <c r="F662" s="16" t="s">
        <v>18</v>
      </c>
      <c r="G662" s="16">
        <v>11</v>
      </c>
      <c r="H662" s="17">
        <v>1800</v>
      </c>
      <c r="I662" s="23">
        <v>0.15</v>
      </c>
      <c r="J662" s="28">
        <f>Table2[[#This Row],[Quantity]]*Table2[[#This Row],[Unit_Price]]</f>
        <v>19800</v>
      </c>
      <c r="K662" s="31">
        <f t="shared" si="10"/>
        <v>16830</v>
      </c>
      <c r="L662" s="31">
        <f>Table2[[#This Row],[gross sales]]-Table2[[#This Row],[net sale]]</f>
        <v>2970</v>
      </c>
      <c r="M662" s="36" t="str">
        <f>TEXT(B662,"mmm")</f>
        <v>Jul</v>
      </c>
    </row>
    <row r="663" spans="1:13">
      <c r="A663" s="19">
        <v>1662</v>
      </c>
      <c r="B663" s="18">
        <v>45901</v>
      </c>
      <c r="C663" s="19" t="s">
        <v>37</v>
      </c>
      <c r="D663" s="19" t="s">
        <v>36</v>
      </c>
      <c r="E663" s="19" t="s">
        <v>14</v>
      </c>
      <c r="F663" s="19" t="s">
        <v>23</v>
      </c>
      <c r="G663" s="19">
        <v>9</v>
      </c>
      <c r="H663" s="20">
        <v>1800</v>
      </c>
      <c r="I663" s="24">
        <v>0.08</v>
      </c>
      <c r="J663" s="28">
        <f>Table2[[#This Row],[Quantity]]*Table2[[#This Row],[Unit_Price]]</f>
        <v>16200</v>
      </c>
      <c r="K663" s="31">
        <f t="shared" si="10"/>
        <v>14904</v>
      </c>
      <c r="L663" s="31">
        <f>Table2[[#This Row],[gross sales]]-Table2[[#This Row],[net sale]]</f>
        <v>1296</v>
      </c>
      <c r="M663" s="37" t="str">
        <f>TEXT(B663,"mmm")</f>
        <v>Sep</v>
      </c>
    </row>
    <row r="664" spans="1:13">
      <c r="A664" s="16">
        <v>1663</v>
      </c>
      <c r="B664" s="15">
        <v>45813</v>
      </c>
      <c r="C664" s="16" t="s">
        <v>21</v>
      </c>
      <c r="D664" s="16" t="s">
        <v>10</v>
      </c>
      <c r="E664" s="16" t="s">
        <v>14</v>
      </c>
      <c r="F664" s="16" t="s">
        <v>12</v>
      </c>
      <c r="G664" s="16">
        <v>9</v>
      </c>
      <c r="H664" s="17">
        <v>14000</v>
      </c>
      <c r="I664" s="23">
        <v>0.1</v>
      </c>
      <c r="J664" s="28">
        <f>Table2[[#This Row],[Quantity]]*Table2[[#This Row],[Unit_Price]]</f>
        <v>126000</v>
      </c>
      <c r="K664" s="31">
        <f t="shared" si="10"/>
        <v>113400</v>
      </c>
      <c r="L664" s="31">
        <f>Table2[[#This Row],[gross sales]]-Table2[[#This Row],[net sale]]</f>
        <v>12600</v>
      </c>
      <c r="M664" s="36" t="str">
        <f>TEXT(B664,"mmm")</f>
        <v>Jun</v>
      </c>
    </row>
    <row r="665" spans="1:13">
      <c r="A665" s="19">
        <v>1664</v>
      </c>
      <c r="B665" s="18">
        <v>45726</v>
      </c>
      <c r="C665" s="19" t="s">
        <v>21</v>
      </c>
      <c r="D665" s="19" t="s">
        <v>10</v>
      </c>
      <c r="E665" s="19" t="s">
        <v>11</v>
      </c>
      <c r="F665" s="19" t="s">
        <v>15</v>
      </c>
      <c r="G665" s="19">
        <v>15</v>
      </c>
      <c r="H665" s="20">
        <v>14000</v>
      </c>
      <c r="I665" s="24">
        <v>0.08</v>
      </c>
      <c r="J665" s="28">
        <f>Table2[[#This Row],[Quantity]]*Table2[[#This Row],[Unit_Price]]</f>
        <v>210000</v>
      </c>
      <c r="K665" s="31">
        <f t="shared" si="10"/>
        <v>193200</v>
      </c>
      <c r="L665" s="31">
        <f>Table2[[#This Row],[gross sales]]-Table2[[#This Row],[net sale]]</f>
        <v>16800</v>
      </c>
      <c r="M665" s="37" t="str">
        <f>TEXT(B665,"mmm")</f>
        <v>Mar</v>
      </c>
    </row>
    <row r="666" spans="1:13">
      <c r="A666" s="16">
        <v>1665</v>
      </c>
      <c r="B666" s="15">
        <v>45967</v>
      </c>
      <c r="C666" s="16" t="s">
        <v>29</v>
      </c>
      <c r="D666" s="16" t="s">
        <v>30</v>
      </c>
      <c r="E666" s="16" t="s">
        <v>22</v>
      </c>
      <c r="F666" s="16" t="s">
        <v>12</v>
      </c>
      <c r="G666" s="16">
        <v>3</v>
      </c>
      <c r="H666" s="16">
        <v>250</v>
      </c>
      <c r="I666" s="23">
        <v>0.05</v>
      </c>
      <c r="J666" s="28">
        <f>Table2[[#This Row],[Quantity]]*Table2[[#This Row],[Unit_Price]]</f>
        <v>750</v>
      </c>
      <c r="K666" s="31">
        <f t="shared" si="10"/>
        <v>712.5</v>
      </c>
      <c r="L666" s="31">
        <f>Table2[[#This Row],[gross sales]]-Table2[[#This Row],[net sale]]</f>
        <v>37.5</v>
      </c>
      <c r="M666" s="36" t="str">
        <f>TEXT(B666,"mmm")</f>
        <v>Nov</v>
      </c>
    </row>
    <row r="667" spans="1:13">
      <c r="A667" s="19">
        <v>1666</v>
      </c>
      <c r="B667" s="18">
        <v>45866</v>
      </c>
      <c r="C667" s="19" t="s">
        <v>39</v>
      </c>
      <c r="D667" s="19" t="s">
        <v>30</v>
      </c>
      <c r="E667" s="19" t="s">
        <v>11</v>
      </c>
      <c r="F667" s="19" t="s">
        <v>18</v>
      </c>
      <c r="G667" s="19">
        <v>16</v>
      </c>
      <c r="H667" s="19">
        <v>180</v>
      </c>
      <c r="I667" s="24">
        <v>0.12</v>
      </c>
      <c r="J667" s="28">
        <f>Table2[[#This Row],[Quantity]]*Table2[[#This Row],[Unit_Price]]</f>
        <v>2880</v>
      </c>
      <c r="K667" s="31">
        <f t="shared" si="10"/>
        <v>2534.4</v>
      </c>
      <c r="L667" s="31">
        <f>Table2[[#This Row],[gross sales]]-Table2[[#This Row],[net sale]]</f>
        <v>345.59999999999991</v>
      </c>
      <c r="M667" s="37" t="str">
        <f>TEXT(B667,"mmm")</f>
        <v>Jul</v>
      </c>
    </row>
    <row r="668" spans="1:13">
      <c r="A668" s="16">
        <v>1667</v>
      </c>
      <c r="B668" s="15">
        <v>45921</v>
      </c>
      <c r="C668" s="16" t="s">
        <v>35</v>
      </c>
      <c r="D668" s="16" t="s">
        <v>36</v>
      </c>
      <c r="E668" s="16" t="s">
        <v>11</v>
      </c>
      <c r="F668" s="16" t="s">
        <v>15</v>
      </c>
      <c r="G668" s="16">
        <v>6</v>
      </c>
      <c r="H668" s="17">
        <v>3500</v>
      </c>
      <c r="I668" s="23">
        <v>0</v>
      </c>
      <c r="J668" s="28">
        <f>Table2[[#This Row],[Quantity]]*Table2[[#This Row],[Unit_Price]]</f>
        <v>21000</v>
      </c>
      <c r="K668" s="31">
        <f t="shared" si="10"/>
        <v>21000</v>
      </c>
      <c r="L668" s="31">
        <f>Table2[[#This Row],[gross sales]]-Table2[[#This Row],[net sale]]</f>
        <v>0</v>
      </c>
      <c r="M668" s="36" t="str">
        <f>TEXT(B668,"mmm")</f>
        <v>Sep</v>
      </c>
    </row>
    <row r="669" spans="1:13">
      <c r="A669" s="19">
        <v>1668</v>
      </c>
      <c r="B669" s="18">
        <v>45727</v>
      </c>
      <c r="C669" s="19" t="s">
        <v>35</v>
      </c>
      <c r="D669" s="19" t="s">
        <v>36</v>
      </c>
      <c r="E669" s="19" t="s">
        <v>14</v>
      </c>
      <c r="F669" s="19" t="s">
        <v>32</v>
      </c>
      <c r="G669" s="19">
        <v>17</v>
      </c>
      <c r="H669" s="20">
        <v>3500</v>
      </c>
      <c r="I669" s="24">
        <v>0.12</v>
      </c>
      <c r="J669" s="28">
        <f>Table2[[#This Row],[Quantity]]*Table2[[#This Row],[Unit_Price]]</f>
        <v>59500</v>
      </c>
      <c r="K669" s="31">
        <f t="shared" si="10"/>
        <v>52360</v>
      </c>
      <c r="L669" s="31">
        <f>Table2[[#This Row],[gross sales]]-Table2[[#This Row],[net sale]]</f>
        <v>7140</v>
      </c>
      <c r="M669" s="37" t="str">
        <f>TEXT(B669,"mmm")</f>
        <v>Mar</v>
      </c>
    </row>
    <row r="670" spans="1:13">
      <c r="A670" s="16">
        <v>1669</v>
      </c>
      <c r="B670" s="15">
        <v>45756</v>
      </c>
      <c r="C670" s="16" t="s">
        <v>37</v>
      </c>
      <c r="D670" s="16" t="s">
        <v>36</v>
      </c>
      <c r="E670" s="16" t="s">
        <v>17</v>
      </c>
      <c r="F670" s="16" t="s">
        <v>18</v>
      </c>
      <c r="G670" s="16">
        <v>7</v>
      </c>
      <c r="H670" s="17">
        <v>1800</v>
      </c>
      <c r="I670" s="23">
        <v>0</v>
      </c>
      <c r="J670" s="28">
        <f>Table2[[#This Row],[Quantity]]*Table2[[#This Row],[Unit_Price]]</f>
        <v>12600</v>
      </c>
      <c r="K670" s="31">
        <f t="shared" si="10"/>
        <v>12600</v>
      </c>
      <c r="L670" s="31">
        <f>Table2[[#This Row],[gross sales]]-Table2[[#This Row],[net sale]]</f>
        <v>0</v>
      </c>
      <c r="M670" s="36" t="str">
        <f>TEXT(B670,"mmm")</f>
        <v>Apr</v>
      </c>
    </row>
    <row r="671" spans="1:13">
      <c r="A671" s="19">
        <v>1670</v>
      </c>
      <c r="B671" s="18">
        <v>45891</v>
      </c>
      <c r="C671" s="19" t="s">
        <v>16</v>
      </c>
      <c r="D671" s="19" t="s">
        <v>10</v>
      </c>
      <c r="E671" s="19" t="s">
        <v>17</v>
      </c>
      <c r="F671" s="19" t="s">
        <v>27</v>
      </c>
      <c r="G671" s="19">
        <v>12</v>
      </c>
      <c r="H671" s="20">
        <v>55000</v>
      </c>
      <c r="I671" s="24">
        <v>0.15</v>
      </c>
      <c r="J671" s="28">
        <f>Table2[[#This Row],[Quantity]]*Table2[[#This Row],[Unit_Price]]</f>
        <v>660000</v>
      </c>
      <c r="K671" s="31">
        <f t="shared" si="10"/>
        <v>561000</v>
      </c>
      <c r="L671" s="31">
        <f>Table2[[#This Row],[gross sales]]-Table2[[#This Row],[net sale]]</f>
        <v>99000</v>
      </c>
      <c r="M671" s="37" t="str">
        <f>TEXT(B671,"mmm")</f>
        <v>Aug</v>
      </c>
    </row>
    <row r="672" spans="1:13">
      <c r="A672" s="16">
        <v>1671</v>
      </c>
      <c r="B672" s="15">
        <v>45846</v>
      </c>
      <c r="C672" s="16" t="s">
        <v>38</v>
      </c>
      <c r="D672" s="16" t="s">
        <v>10</v>
      </c>
      <c r="E672" s="16" t="s">
        <v>22</v>
      </c>
      <c r="F672" s="16" t="s">
        <v>24</v>
      </c>
      <c r="G672" s="16">
        <v>15</v>
      </c>
      <c r="H672" s="17">
        <v>42000</v>
      </c>
      <c r="I672" s="23">
        <v>0.12</v>
      </c>
      <c r="J672" s="28">
        <f>Table2[[#This Row],[Quantity]]*Table2[[#This Row],[Unit_Price]]</f>
        <v>630000</v>
      </c>
      <c r="K672" s="31">
        <f t="shared" si="10"/>
        <v>554400</v>
      </c>
      <c r="L672" s="31">
        <f>Table2[[#This Row],[gross sales]]-Table2[[#This Row],[net sale]]</f>
        <v>75600</v>
      </c>
      <c r="M672" s="36" t="str">
        <f>TEXT(B672,"mmm")</f>
        <v>Jul</v>
      </c>
    </row>
    <row r="673" spans="1:13">
      <c r="A673" s="19">
        <v>1672</v>
      </c>
      <c r="B673" s="18">
        <v>46006</v>
      </c>
      <c r="C673" s="19" t="s">
        <v>16</v>
      </c>
      <c r="D673" s="19" t="s">
        <v>10</v>
      </c>
      <c r="E673" s="19" t="s">
        <v>22</v>
      </c>
      <c r="F673" s="19" t="s">
        <v>20</v>
      </c>
      <c r="G673" s="19">
        <v>8</v>
      </c>
      <c r="H673" s="20">
        <v>55000</v>
      </c>
      <c r="I673" s="24">
        <v>0.08</v>
      </c>
      <c r="J673" s="28">
        <f>Table2[[#This Row],[Quantity]]*Table2[[#This Row],[Unit_Price]]</f>
        <v>440000</v>
      </c>
      <c r="K673" s="31">
        <f t="shared" si="10"/>
        <v>404800</v>
      </c>
      <c r="L673" s="31">
        <f>Table2[[#This Row],[gross sales]]-Table2[[#This Row],[net sale]]</f>
        <v>35200</v>
      </c>
      <c r="M673" s="37" t="str">
        <f>TEXT(B673,"mmm")</f>
        <v>Dec</v>
      </c>
    </row>
    <row r="674" spans="1:13">
      <c r="A674" s="16">
        <v>1673</v>
      </c>
      <c r="B674" s="15">
        <v>45748</v>
      </c>
      <c r="C674" s="16" t="s">
        <v>38</v>
      </c>
      <c r="D674" s="16" t="s">
        <v>10</v>
      </c>
      <c r="E674" s="16" t="s">
        <v>11</v>
      </c>
      <c r="F674" s="16" t="s">
        <v>23</v>
      </c>
      <c r="G674" s="16">
        <v>16</v>
      </c>
      <c r="H674" s="17">
        <v>42000</v>
      </c>
      <c r="I674" s="23">
        <v>0.12</v>
      </c>
      <c r="J674" s="28">
        <f>Table2[[#This Row],[Quantity]]*Table2[[#This Row],[Unit_Price]]</f>
        <v>672000</v>
      </c>
      <c r="K674" s="31">
        <f t="shared" si="10"/>
        <v>591360</v>
      </c>
      <c r="L674" s="31">
        <f>Table2[[#This Row],[gross sales]]-Table2[[#This Row],[net sale]]</f>
        <v>80640</v>
      </c>
      <c r="M674" s="36" t="str">
        <f>TEXT(B674,"mmm")</f>
        <v>Apr</v>
      </c>
    </row>
    <row r="675" spans="1:13">
      <c r="A675" s="19">
        <v>1674</v>
      </c>
      <c r="B675" s="18">
        <v>45741</v>
      </c>
      <c r="C675" s="19" t="s">
        <v>38</v>
      </c>
      <c r="D675" s="19" t="s">
        <v>10</v>
      </c>
      <c r="E675" s="19" t="s">
        <v>14</v>
      </c>
      <c r="F675" s="19" t="s">
        <v>27</v>
      </c>
      <c r="G675" s="19">
        <v>9</v>
      </c>
      <c r="H675" s="20">
        <v>42000</v>
      </c>
      <c r="I675" s="24">
        <v>0.15</v>
      </c>
      <c r="J675" s="28">
        <f>Table2[[#This Row],[Quantity]]*Table2[[#This Row],[Unit_Price]]</f>
        <v>378000</v>
      </c>
      <c r="K675" s="31">
        <f t="shared" si="10"/>
        <v>321300</v>
      </c>
      <c r="L675" s="31">
        <f>Table2[[#This Row],[gross sales]]-Table2[[#This Row],[net sale]]</f>
        <v>56700</v>
      </c>
      <c r="M675" s="37" t="str">
        <f>TEXT(B675,"mmm")</f>
        <v>Mar</v>
      </c>
    </row>
    <row r="676" spans="1:13">
      <c r="A676" s="16">
        <v>1675</v>
      </c>
      <c r="B676" s="15">
        <v>45672</v>
      </c>
      <c r="C676" s="16" t="s">
        <v>31</v>
      </c>
      <c r="D676" s="16" t="s">
        <v>26</v>
      </c>
      <c r="E676" s="16" t="s">
        <v>17</v>
      </c>
      <c r="F676" s="16" t="s">
        <v>12</v>
      </c>
      <c r="G676" s="16">
        <v>2</v>
      </c>
      <c r="H676" s="17">
        <v>8500</v>
      </c>
      <c r="I676" s="23">
        <v>0.05</v>
      </c>
      <c r="J676" s="28">
        <f>Table2[[#This Row],[Quantity]]*Table2[[#This Row],[Unit_Price]]</f>
        <v>17000</v>
      </c>
      <c r="K676" s="31">
        <f t="shared" si="10"/>
        <v>16150</v>
      </c>
      <c r="L676" s="31">
        <f>Table2[[#This Row],[gross sales]]-Table2[[#This Row],[net sale]]</f>
        <v>850</v>
      </c>
      <c r="M676" s="36" t="str">
        <f>TEXT(B676,"mmm")</f>
        <v>Jan</v>
      </c>
    </row>
    <row r="677" spans="1:13">
      <c r="A677" s="19">
        <v>1676</v>
      </c>
      <c r="B677" s="18">
        <v>45989</v>
      </c>
      <c r="C677" s="19" t="s">
        <v>19</v>
      </c>
      <c r="D677" s="19" t="s">
        <v>10</v>
      </c>
      <c r="E677" s="19" t="s">
        <v>22</v>
      </c>
      <c r="F677" s="19" t="s">
        <v>18</v>
      </c>
      <c r="G677" s="19">
        <v>7</v>
      </c>
      <c r="H677" s="19">
        <v>800</v>
      </c>
      <c r="I677" s="24">
        <v>0.08</v>
      </c>
      <c r="J677" s="28">
        <f>Table2[[#This Row],[Quantity]]*Table2[[#This Row],[Unit_Price]]</f>
        <v>5600</v>
      </c>
      <c r="K677" s="31">
        <f t="shared" si="10"/>
        <v>5152</v>
      </c>
      <c r="L677" s="31">
        <f>Table2[[#This Row],[gross sales]]-Table2[[#This Row],[net sale]]</f>
        <v>448</v>
      </c>
      <c r="M677" s="37" t="str">
        <f>TEXT(B677,"mmm")</f>
        <v>Nov</v>
      </c>
    </row>
    <row r="678" spans="1:13">
      <c r="A678" s="16">
        <v>1677</v>
      </c>
      <c r="B678" s="15">
        <v>46007</v>
      </c>
      <c r="C678" s="16" t="s">
        <v>16</v>
      </c>
      <c r="D678" s="16" t="s">
        <v>10</v>
      </c>
      <c r="E678" s="16" t="s">
        <v>17</v>
      </c>
      <c r="F678" s="16" t="s">
        <v>18</v>
      </c>
      <c r="G678" s="16">
        <v>16</v>
      </c>
      <c r="H678" s="17">
        <v>55000</v>
      </c>
      <c r="I678" s="23">
        <v>0.05</v>
      </c>
      <c r="J678" s="28">
        <f>Table2[[#This Row],[Quantity]]*Table2[[#This Row],[Unit_Price]]</f>
        <v>880000</v>
      </c>
      <c r="K678" s="31">
        <f t="shared" si="10"/>
        <v>836000</v>
      </c>
      <c r="L678" s="31">
        <f>Table2[[#This Row],[gross sales]]-Table2[[#This Row],[net sale]]</f>
        <v>44000</v>
      </c>
      <c r="M678" s="36" t="str">
        <f>TEXT(B678,"mmm")</f>
        <v>Dec</v>
      </c>
    </row>
    <row r="679" spans="1:13">
      <c r="A679" s="19">
        <v>1678</v>
      </c>
      <c r="B679" s="18">
        <v>45772</v>
      </c>
      <c r="C679" s="19" t="s">
        <v>21</v>
      </c>
      <c r="D679" s="19" t="s">
        <v>10</v>
      </c>
      <c r="E679" s="19" t="s">
        <v>11</v>
      </c>
      <c r="F679" s="19" t="s">
        <v>15</v>
      </c>
      <c r="G679" s="19">
        <v>20</v>
      </c>
      <c r="H679" s="20">
        <v>14000</v>
      </c>
      <c r="I679" s="24">
        <v>0.08</v>
      </c>
      <c r="J679" s="28">
        <f>Table2[[#This Row],[Quantity]]*Table2[[#This Row],[Unit_Price]]</f>
        <v>280000</v>
      </c>
      <c r="K679" s="31">
        <f t="shared" si="10"/>
        <v>257600</v>
      </c>
      <c r="L679" s="31">
        <f>Table2[[#This Row],[gross sales]]-Table2[[#This Row],[net sale]]</f>
        <v>22400</v>
      </c>
      <c r="M679" s="37" t="str">
        <f>TEXT(B679,"mmm")</f>
        <v>Apr</v>
      </c>
    </row>
    <row r="680" spans="1:13">
      <c r="A680" s="16">
        <v>1679</v>
      </c>
      <c r="B680" s="15">
        <v>45850</v>
      </c>
      <c r="C680" s="16" t="s">
        <v>38</v>
      </c>
      <c r="D680" s="16" t="s">
        <v>10</v>
      </c>
      <c r="E680" s="16" t="s">
        <v>11</v>
      </c>
      <c r="F680" s="16" t="s">
        <v>12</v>
      </c>
      <c r="G680" s="16">
        <v>12</v>
      </c>
      <c r="H680" s="17">
        <v>42000</v>
      </c>
      <c r="I680" s="23">
        <v>0.1</v>
      </c>
      <c r="J680" s="28">
        <f>Table2[[#This Row],[Quantity]]*Table2[[#This Row],[Unit_Price]]</f>
        <v>504000</v>
      </c>
      <c r="K680" s="31">
        <f t="shared" si="10"/>
        <v>453600</v>
      </c>
      <c r="L680" s="31">
        <f>Table2[[#This Row],[gross sales]]-Table2[[#This Row],[net sale]]</f>
        <v>50400</v>
      </c>
      <c r="M680" s="36" t="str">
        <f>TEXT(B680,"mmm")</f>
        <v>Jul</v>
      </c>
    </row>
    <row r="681" spans="1:13">
      <c r="A681" s="19">
        <v>1680</v>
      </c>
      <c r="B681" s="18">
        <v>45896</v>
      </c>
      <c r="C681" s="19" t="s">
        <v>21</v>
      </c>
      <c r="D681" s="19" t="s">
        <v>10</v>
      </c>
      <c r="E681" s="19" t="s">
        <v>22</v>
      </c>
      <c r="F681" s="19" t="s">
        <v>24</v>
      </c>
      <c r="G681" s="19">
        <v>17</v>
      </c>
      <c r="H681" s="20">
        <v>14000</v>
      </c>
      <c r="I681" s="24">
        <v>0.12</v>
      </c>
      <c r="J681" s="28">
        <f>Table2[[#This Row],[Quantity]]*Table2[[#This Row],[Unit_Price]]</f>
        <v>238000</v>
      </c>
      <c r="K681" s="31">
        <f t="shared" si="10"/>
        <v>209440</v>
      </c>
      <c r="L681" s="31">
        <f>Table2[[#This Row],[gross sales]]-Table2[[#This Row],[net sale]]</f>
        <v>28560</v>
      </c>
      <c r="M681" s="37" t="str">
        <f>TEXT(B681,"mmm")</f>
        <v>Aug</v>
      </c>
    </row>
    <row r="682" spans="1:13">
      <c r="A682" s="16">
        <v>1681</v>
      </c>
      <c r="B682" s="15">
        <v>45661</v>
      </c>
      <c r="C682" s="16" t="s">
        <v>25</v>
      </c>
      <c r="D682" s="16" t="s">
        <v>26</v>
      </c>
      <c r="E682" s="16" t="s">
        <v>11</v>
      </c>
      <c r="F682" s="16" t="s">
        <v>27</v>
      </c>
      <c r="G682" s="16">
        <v>12</v>
      </c>
      <c r="H682" s="17">
        <v>11000</v>
      </c>
      <c r="I682" s="23">
        <v>0.12</v>
      </c>
      <c r="J682" s="28">
        <f>Table2[[#This Row],[Quantity]]*Table2[[#This Row],[Unit_Price]]</f>
        <v>132000</v>
      </c>
      <c r="K682" s="31">
        <f t="shared" si="10"/>
        <v>116160</v>
      </c>
      <c r="L682" s="31">
        <f>Table2[[#This Row],[gross sales]]-Table2[[#This Row],[net sale]]</f>
        <v>15840</v>
      </c>
      <c r="M682" s="36" t="str">
        <f>TEXT(B682,"mmm")</f>
        <v>Jan</v>
      </c>
    </row>
    <row r="683" spans="1:13">
      <c r="A683" s="19">
        <v>1682</v>
      </c>
      <c r="B683" s="18">
        <v>46008</v>
      </c>
      <c r="C683" s="19" t="s">
        <v>9</v>
      </c>
      <c r="D683" s="19" t="s">
        <v>10</v>
      </c>
      <c r="E683" s="19" t="s">
        <v>11</v>
      </c>
      <c r="F683" s="19" t="s">
        <v>27</v>
      </c>
      <c r="G683" s="19">
        <v>16</v>
      </c>
      <c r="H683" s="20">
        <v>18000</v>
      </c>
      <c r="I683" s="24">
        <v>0</v>
      </c>
      <c r="J683" s="28">
        <f>Table2[[#This Row],[Quantity]]*Table2[[#This Row],[Unit_Price]]</f>
        <v>288000</v>
      </c>
      <c r="K683" s="31">
        <f t="shared" si="10"/>
        <v>288000</v>
      </c>
      <c r="L683" s="31">
        <f>Table2[[#This Row],[gross sales]]-Table2[[#This Row],[net sale]]</f>
        <v>0</v>
      </c>
      <c r="M683" s="37" t="str">
        <f>TEXT(B683,"mmm")</f>
        <v>Dec</v>
      </c>
    </row>
    <row r="684" spans="1:13">
      <c r="A684" s="16">
        <v>1683</v>
      </c>
      <c r="B684" s="15">
        <v>45985</v>
      </c>
      <c r="C684" s="16" t="s">
        <v>33</v>
      </c>
      <c r="D684" s="16" t="s">
        <v>10</v>
      </c>
      <c r="E684" s="16" t="s">
        <v>11</v>
      </c>
      <c r="F684" s="16" t="s">
        <v>12</v>
      </c>
      <c r="G684" s="16">
        <v>9</v>
      </c>
      <c r="H684" s="17">
        <v>2500</v>
      </c>
      <c r="I684" s="23">
        <v>0.08</v>
      </c>
      <c r="J684" s="28">
        <f>Table2[[#This Row],[Quantity]]*Table2[[#This Row],[Unit_Price]]</f>
        <v>22500</v>
      </c>
      <c r="K684" s="31">
        <f t="shared" si="10"/>
        <v>20700</v>
      </c>
      <c r="L684" s="31">
        <f>Table2[[#This Row],[gross sales]]-Table2[[#This Row],[net sale]]</f>
        <v>1800</v>
      </c>
      <c r="M684" s="36" t="str">
        <f>TEXT(B684,"mmm")</f>
        <v>Nov</v>
      </c>
    </row>
    <row r="685" spans="1:13">
      <c r="A685" s="19">
        <v>1684</v>
      </c>
      <c r="B685" s="18">
        <v>45734</v>
      </c>
      <c r="C685" s="19" t="s">
        <v>25</v>
      </c>
      <c r="D685" s="19" t="s">
        <v>26</v>
      </c>
      <c r="E685" s="19" t="s">
        <v>22</v>
      </c>
      <c r="F685" s="19" t="s">
        <v>23</v>
      </c>
      <c r="G685" s="19">
        <v>8</v>
      </c>
      <c r="H685" s="20">
        <v>11000</v>
      </c>
      <c r="I685" s="24">
        <v>0</v>
      </c>
      <c r="J685" s="28">
        <f>Table2[[#This Row],[Quantity]]*Table2[[#This Row],[Unit_Price]]</f>
        <v>88000</v>
      </c>
      <c r="K685" s="31">
        <f t="shared" si="10"/>
        <v>88000</v>
      </c>
      <c r="L685" s="31">
        <f>Table2[[#This Row],[gross sales]]-Table2[[#This Row],[net sale]]</f>
        <v>0</v>
      </c>
      <c r="M685" s="37" t="str">
        <f>TEXT(B685,"mmm")</f>
        <v>Mar</v>
      </c>
    </row>
    <row r="686" spans="1:13">
      <c r="A686" s="16">
        <v>1685</v>
      </c>
      <c r="B686" s="15">
        <v>46006</v>
      </c>
      <c r="C686" s="16" t="s">
        <v>13</v>
      </c>
      <c r="D686" s="16" t="s">
        <v>10</v>
      </c>
      <c r="E686" s="16" t="s">
        <v>22</v>
      </c>
      <c r="F686" s="16" t="s">
        <v>27</v>
      </c>
      <c r="G686" s="16">
        <v>1</v>
      </c>
      <c r="H686" s="17">
        <v>1200</v>
      </c>
      <c r="I686" s="23">
        <v>0.15</v>
      </c>
      <c r="J686" s="28">
        <f>Table2[[#This Row],[Quantity]]*Table2[[#This Row],[Unit_Price]]</f>
        <v>1200</v>
      </c>
      <c r="K686" s="31">
        <f t="shared" si="10"/>
        <v>1020</v>
      </c>
      <c r="L686" s="31">
        <f>Table2[[#This Row],[gross sales]]-Table2[[#This Row],[net sale]]</f>
        <v>180</v>
      </c>
      <c r="M686" s="36" t="str">
        <f>TEXT(B686,"mmm")</f>
        <v>Dec</v>
      </c>
    </row>
    <row r="687" spans="1:13">
      <c r="A687" s="19">
        <v>1686</v>
      </c>
      <c r="B687" s="18">
        <v>45790</v>
      </c>
      <c r="C687" s="19" t="s">
        <v>37</v>
      </c>
      <c r="D687" s="19" t="s">
        <v>36</v>
      </c>
      <c r="E687" s="19" t="s">
        <v>22</v>
      </c>
      <c r="F687" s="19" t="s">
        <v>18</v>
      </c>
      <c r="G687" s="19">
        <v>14</v>
      </c>
      <c r="H687" s="20">
        <v>1800</v>
      </c>
      <c r="I687" s="24">
        <v>0.1</v>
      </c>
      <c r="J687" s="28">
        <f>Table2[[#This Row],[Quantity]]*Table2[[#This Row],[Unit_Price]]</f>
        <v>25200</v>
      </c>
      <c r="K687" s="31">
        <f t="shared" si="10"/>
        <v>22680</v>
      </c>
      <c r="L687" s="31">
        <f>Table2[[#This Row],[gross sales]]-Table2[[#This Row],[net sale]]</f>
        <v>2520</v>
      </c>
      <c r="M687" s="37" t="str">
        <f>TEXT(B687,"mmm")</f>
        <v>May</v>
      </c>
    </row>
    <row r="688" spans="1:13">
      <c r="A688" s="16">
        <v>1687</v>
      </c>
      <c r="B688" s="15">
        <v>45956</v>
      </c>
      <c r="C688" s="16" t="s">
        <v>39</v>
      </c>
      <c r="D688" s="16" t="s">
        <v>30</v>
      </c>
      <c r="E688" s="16" t="s">
        <v>11</v>
      </c>
      <c r="F688" s="16" t="s">
        <v>12</v>
      </c>
      <c r="G688" s="16">
        <v>19</v>
      </c>
      <c r="H688" s="16">
        <v>180</v>
      </c>
      <c r="I688" s="23">
        <v>0.05</v>
      </c>
      <c r="J688" s="28">
        <f>Table2[[#This Row],[Quantity]]*Table2[[#This Row],[Unit_Price]]</f>
        <v>3420</v>
      </c>
      <c r="K688" s="31">
        <f t="shared" si="10"/>
        <v>3249</v>
      </c>
      <c r="L688" s="31">
        <f>Table2[[#This Row],[gross sales]]-Table2[[#This Row],[net sale]]</f>
        <v>171</v>
      </c>
      <c r="M688" s="36" t="str">
        <f>TEXT(B688,"mmm")</f>
        <v>Oct</v>
      </c>
    </row>
    <row r="689" spans="1:13">
      <c r="A689" s="19">
        <v>1688</v>
      </c>
      <c r="B689" s="18">
        <v>46009</v>
      </c>
      <c r="C689" s="19" t="s">
        <v>25</v>
      </c>
      <c r="D689" s="19" t="s">
        <v>26</v>
      </c>
      <c r="E689" s="19" t="s">
        <v>11</v>
      </c>
      <c r="F689" s="19" t="s">
        <v>27</v>
      </c>
      <c r="G689" s="19">
        <v>16</v>
      </c>
      <c r="H689" s="20">
        <v>11000</v>
      </c>
      <c r="I689" s="24">
        <v>0.15</v>
      </c>
      <c r="J689" s="28">
        <f>Table2[[#This Row],[Quantity]]*Table2[[#This Row],[Unit_Price]]</f>
        <v>176000</v>
      </c>
      <c r="K689" s="31">
        <f t="shared" si="10"/>
        <v>149600</v>
      </c>
      <c r="L689" s="31">
        <f>Table2[[#This Row],[gross sales]]-Table2[[#This Row],[net sale]]</f>
        <v>26400</v>
      </c>
      <c r="M689" s="37" t="str">
        <f>TEXT(B689,"mmm")</f>
        <v>Dec</v>
      </c>
    </row>
    <row r="690" spans="1:13">
      <c r="A690" s="16">
        <v>1689</v>
      </c>
      <c r="B690" s="15">
        <v>45745</v>
      </c>
      <c r="C690" s="16" t="s">
        <v>38</v>
      </c>
      <c r="D690" s="16" t="s">
        <v>10</v>
      </c>
      <c r="E690" s="16" t="s">
        <v>11</v>
      </c>
      <c r="F690" s="16" t="s">
        <v>24</v>
      </c>
      <c r="G690" s="16">
        <v>18</v>
      </c>
      <c r="H690" s="17">
        <v>42000</v>
      </c>
      <c r="I690" s="23">
        <v>0.05</v>
      </c>
      <c r="J690" s="28">
        <f>Table2[[#This Row],[Quantity]]*Table2[[#This Row],[Unit_Price]]</f>
        <v>756000</v>
      </c>
      <c r="K690" s="31">
        <f t="shared" si="10"/>
        <v>718200</v>
      </c>
      <c r="L690" s="31">
        <f>Table2[[#This Row],[gross sales]]-Table2[[#This Row],[net sale]]</f>
        <v>37800</v>
      </c>
      <c r="M690" s="36" t="str">
        <f>TEXT(B690,"mmm")</f>
        <v>Mar</v>
      </c>
    </row>
    <row r="691" spans="1:13">
      <c r="A691" s="19">
        <v>1690</v>
      </c>
      <c r="B691" s="18">
        <v>45899</v>
      </c>
      <c r="C691" s="19" t="s">
        <v>13</v>
      </c>
      <c r="D691" s="19" t="s">
        <v>10</v>
      </c>
      <c r="E691" s="19" t="s">
        <v>17</v>
      </c>
      <c r="F691" s="19" t="s">
        <v>23</v>
      </c>
      <c r="G691" s="19">
        <v>9</v>
      </c>
      <c r="H691" s="20">
        <v>1200</v>
      </c>
      <c r="I691" s="24">
        <v>0.15</v>
      </c>
      <c r="J691" s="28">
        <f>Table2[[#This Row],[Quantity]]*Table2[[#This Row],[Unit_Price]]</f>
        <v>10800</v>
      </c>
      <c r="K691" s="31">
        <f t="shared" si="10"/>
        <v>9180</v>
      </c>
      <c r="L691" s="31">
        <f>Table2[[#This Row],[gross sales]]-Table2[[#This Row],[net sale]]</f>
        <v>1620</v>
      </c>
      <c r="M691" s="37" t="str">
        <f>TEXT(B691,"mmm")</f>
        <v>Aug</v>
      </c>
    </row>
    <row r="692" spans="1:13">
      <c r="A692" s="16">
        <v>1691</v>
      </c>
      <c r="B692" s="15">
        <v>45993</v>
      </c>
      <c r="C692" s="16" t="s">
        <v>9</v>
      </c>
      <c r="D692" s="16" t="s">
        <v>10</v>
      </c>
      <c r="E692" s="16" t="s">
        <v>17</v>
      </c>
      <c r="F692" s="16" t="s">
        <v>27</v>
      </c>
      <c r="G692" s="16">
        <v>8</v>
      </c>
      <c r="H692" s="17">
        <v>18000</v>
      </c>
      <c r="I692" s="23">
        <v>0.08</v>
      </c>
      <c r="J692" s="28">
        <f>Table2[[#This Row],[Quantity]]*Table2[[#This Row],[Unit_Price]]</f>
        <v>144000</v>
      </c>
      <c r="K692" s="31">
        <f t="shared" si="10"/>
        <v>132480</v>
      </c>
      <c r="L692" s="31">
        <f>Table2[[#This Row],[gross sales]]-Table2[[#This Row],[net sale]]</f>
        <v>11520</v>
      </c>
      <c r="M692" s="36" t="str">
        <f>TEXT(B692,"mmm")</f>
        <v>Dec</v>
      </c>
    </row>
    <row r="693" spans="1:13">
      <c r="A693" s="19">
        <v>1692</v>
      </c>
      <c r="B693" s="18">
        <v>45873</v>
      </c>
      <c r="C693" s="19" t="s">
        <v>35</v>
      </c>
      <c r="D693" s="19" t="s">
        <v>36</v>
      </c>
      <c r="E693" s="19" t="s">
        <v>11</v>
      </c>
      <c r="F693" s="19" t="s">
        <v>27</v>
      </c>
      <c r="G693" s="19">
        <v>11</v>
      </c>
      <c r="H693" s="20">
        <v>3500</v>
      </c>
      <c r="I693" s="24">
        <v>0.08</v>
      </c>
      <c r="J693" s="28">
        <f>Table2[[#This Row],[Quantity]]*Table2[[#This Row],[Unit_Price]]</f>
        <v>38500</v>
      </c>
      <c r="K693" s="31">
        <f t="shared" si="10"/>
        <v>35420</v>
      </c>
      <c r="L693" s="31">
        <f>Table2[[#This Row],[gross sales]]-Table2[[#This Row],[net sale]]</f>
        <v>3080</v>
      </c>
      <c r="M693" s="37" t="str">
        <f>TEXT(B693,"mmm")</f>
        <v>Aug</v>
      </c>
    </row>
    <row r="694" spans="1:13">
      <c r="A694" s="16">
        <v>1693</v>
      </c>
      <c r="B694" s="15">
        <v>45895</v>
      </c>
      <c r="C694" s="16" t="s">
        <v>38</v>
      </c>
      <c r="D694" s="16" t="s">
        <v>10</v>
      </c>
      <c r="E694" s="16" t="s">
        <v>14</v>
      </c>
      <c r="F694" s="16" t="s">
        <v>24</v>
      </c>
      <c r="G694" s="16">
        <v>4</v>
      </c>
      <c r="H694" s="17">
        <v>42000</v>
      </c>
      <c r="I694" s="23">
        <v>0.1</v>
      </c>
      <c r="J694" s="28">
        <f>Table2[[#This Row],[Quantity]]*Table2[[#This Row],[Unit_Price]]</f>
        <v>168000</v>
      </c>
      <c r="K694" s="31">
        <f t="shared" si="10"/>
        <v>151200</v>
      </c>
      <c r="L694" s="31">
        <f>Table2[[#This Row],[gross sales]]-Table2[[#This Row],[net sale]]</f>
        <v>16800</v>
      </c>
      <c r="M694" s="36" t="str">
        <f>TEXT(B694,"mmm")</f>
        <v>Aug</v>
      </c>
    </row>
    <row r="695" spans="1:13">
      <c r="A695" s="19">
        <v>1694</v>
      </c>
      <c r="B695" s="18">
        <v>45899</v>
      </c>
      <c r="C695" s="19" t="s">
        <v>37</v>
      </c>
      <c r="D695" s="19" t="s">
        <v>36</v>
      </c>
      <c r="E695" s="19" t="s">
        <v>14</v>
      </c>
      <c r="F695" s="19" t="s">
        <v>15</v>
      </c>
      <c r="G695" s="19">
        <v>7</v>
      </c>
      <c r="H695" s="20">
        <v>1800</v>
      </c>
      <c r="I695" s="24">
        <v>0.12</v>
      </c>
      <c r="J695" s="28">
        <f>Table2[[#This Row],[Quantity]]*Table2[[#This Row],[Unit_Price]]</f>
        <v>12600</v>
      </c>
      <c r="K695" s="31">
        <f t="shared" si="10"/>
        <v>11088</v>
      </c>
      <c r="L695" s="31">
        <f>Table2[[#This Row],[gross sales]]-Table2[[#This Row],[net sale]]</f>
        <v>1512</v>
      </c>
      <c r="M695" s="37" t="str">
        <f>TEXT(B695,"mmm")</f>
        <v>Aug</v>
      </c>
    </row>
    <row r="696" spans="1:13">
      <c r="A696" s="16">
        <v>1695</v>
      </c>
      <c r="B696" s="15">
        <v>45929</v>
      </c>
      <c r="C696" s="16" t="s">
        <v>21</v>
      </c>
      <c r="D696" s="16" t="s">
        <v>10</v>
      </c>
      <c r="E696" s="16" t="s">
        <v>17</v>
      </c>
      <c r="F696" s="16" t="s">
        <v>32</v>
      </c>
      <c r="G696" s="16">
        <v>14</v>
      </c>
      <c r="H696" s="17">
        <v>14000</v>
      </c>
      <c r="I696" s="23">
        <v>0</v>
      </c>
      <c r="J696" s="28">
        <f>Table2[[#This Row],[Quantity]]*Table2[[#This Row],[Unit_Price]]</f>
        <v>196000</v>
      </c>
      <c r="K696" s="31">
        <f t="shared" si="10"/>
        <v>196000</v>
      </c>
      <c r="L696" s="31">
        <f>Table2[[#This Row],[gross sales]]-Table2[[#This Row],[net sale]]</f>
        <v>0</v>
      </c>
      <c r="M696" s="36" t="str">
        <f>TEXT(B696,"mmm")</f>
        <v>Sep</v>
      </c>
    </row>
    <row r="697" spans="1:13">
      <c r="A697" s="19">
        <v>1696</v>
      </c>
      <c r="B697" s="18">
        <v>45760</v>
      </c>
      <c r="C697" s="19" t="s">
        <v>33</v>
      </c>
      <c r="D697" s="19" t="s">
        <v>10</v>
      </c>
      <c r="E697" s="19" t="s">
        <v>22</v>
      </c>
      <c r="F697" s="19" t="s">
        <v>32</v>
      </c>
      <c r="G697" s="19">
        <v>14</v>
      </c>
      <c r="H697" s="20">
        <v>2500</v>
      </c>
      <c r="I697" s="24">
        <v>0.12</v>
      </c>
      <c r="J697" s="28">
        <f>Table2[[#This Row],[Quantity]]*Table2[[#This Row],[Unit_Price]]</f>
        <v>35000</v>
      </c>
      <c r="K697" s="31">
        <f t="shared" si="10"/>
        <v>30800</v>
      </c>
      <c r="L697" s="31">
        <f>Table2[[#This Row],[gross sales]]-Table2[[#This Row],[net sale]]</f>
        <v>4200</v>
      </c>
      <c r="M697" s="37" t="str">
        <f>TEXT(B697,"mmm")</f>
        <v>Apr</v>
      </c>
    </row>
    <row r="698" spans="1:13">
      <c r="A698" s="16">
        <v>1697</v>
      </c>
      <c r="B698" s="15">
        <v>45819</v>
      </c>
      <c r="C698" s="16" t="s">
        <v>38</v>
      </c>
      <c r="D698" s="16" t="s">
        <v>10</v>
      </c>
      <c r="E698" s="16" t="s">
        <v>22</v>
      </c>
      <c r="F698" s="16" t="s">
        <v>23</v>
      </c>
      <c r="G698" s="16">
        <v>6</v>
      </c>
      <c r="H698" s="17">
        <v>42000</v>
      </c>
      <c r="I698" s="23">
        <v>0</v>
      </c>
      <c r="J698" s="28">
        <f>Table2[[#This Row],[Quantity]]*Table2[[#This Row],[Unit_Price]]</f>
        <v>252000</v>
      </c>
      <c r="K698" s="31">
        <f t="shared" si="10"/>
        <v>252000</v>
      </c>
      <c r="L698" s="31">
        <f>Table2[[#This Row],[gross sales]]-Table2[[#This Row],[net sale]]</f>
        <v>0</v>
      </c>
      <c r="M698" s="36" t="str">
        <f>TEXT(B698,"mmm")</f>
        <v>Jun</v>
      </c>
    </row>
    <row r="699" spans="1:13">
      <c r="A699" s="19">
        <v>1698</v>
      </c>
      <c r="B699" s="18">
        <v>45981</v>
      </c>
      <c r="C699" s="19" t="s">
        <v>13</v>
      </c>
      <c r="D699" s="19" t="s">
        <v>10</v>
      </c>
      <c r="E699" s="19" t="s">
        <v>14</v>
      </c>
      <c r="F699" s="19" t="s">
        <v>18</v>
      </c>
      <c r="G699" s="19">
        <v>11</v>
      </c>
      <c r="H699" s="20">
        <v>1200</v>
      </c>
      <c r="I699" s="24">
        <v>0.15</v>
      </c>
      <c r="J699" s="28">
        <f>Table2[[#This Row],[Quantity]]*Table2[[#This Row],[Unit_Price]]</f>
        <v>13200</v>
      </c>
      <c r="K699" s="31">
        <f t="shared" si="10"/>
        <v>11220</v>
      </c>
      <c r="L699" s="31">
        <f>Table2[[#This Row],[gross sales]]-Table2[[#This Row],[net sale]]</f>
        <v>1980</v>
      </c>
      <c r="M699" s="37" t="str">
        <f>TEXT(B699,"mmm")</f>
        <v>Nov</v>
      </c>
    </row>
    <row r="700" spans="1:13">
      <c r="A700" s="16">
        <v>1699</v>
      </c>
      <c r="B700" s="15">
        <v>45889</v>
      </c>
      <c r="C700" s="16" t="s">
        <v>21</v>
      </c>
      <c r="D700" s="16" t="s">
        <v>10</v>
      </c>
      <c r="E700" s="16" t="s">
        <v>17</v>
      </c>
      <c r="F700" s="16" t="s">
        <v>20</v>
      </c>
      <c r="G700" s="16">
        <v>7</v>
      </c>
      <c r="H700" s="17">
        <v>14000</v>
      </c>
      <c r="I700" s="23">
        <v>0.05</v>
      </c>
      <c r="J700" s="28">
        <f>Table2[[#This Row],[Quantity]]*Table2[[#This Row],[Unit_Price]]</f>
        <v>98000</v>
      </c>
      <c r="K700" s="31">
        <f t="shared" si="10"/>
        <v>93100</v>
      </c>
      <c r="L700" s="31">
        <f>Table2[[#This Row],[gross sales]]-Table2[[#This Row],[net sale]]</f>
        <v>4900</v>
      </c>
      <c r="M700" s="36" t="str">
        <f>TEXT(B700,"mmm")</f>
        <v>Aug</v>
      </c>
    </row>
    <row r="701" spans="1:13">
      <c r="A701" s="19">
        <v>1700</v>
      </c>
      <c r="B701" s="18">
        <v>45703</v>
      </c>
      <c r="C701" s="19" t="s">
        <v>13</v>
      </c>
      <c r="D701" s="19" t="s">
        <v>10</v>
      </c>
      <c r="E701" s="19" t="s">
        <v>22</v>
      </c>
      <c r="F701" s="19" t="s">
        <v>15</v>
      </c>
      <c r="G701" s="19">
        <v>20</v>
      </c>
      <c r="H701" s="20">
        <v>1200</v>
      </c>
      <c r="I701" s="24">
        <v>0.1</v>
      </c>
      <c r="J701" s="28">
        <f>Table2[[#This Row],[Quantity]]*Table2[[#This Row],[Unit_Price]]</f>
        <v>24000</v>
      </c>
      <c r="K701" s="31">
        <f t="shared" si="10"/>
        <v>21600</v>
      </c>
      <c r="L701" s="31">
        <f>Table2[[#This Row],[gross sales]]-Table2[[#This Row],[net sale]]</f>
        <v>2400</v>
      </c>
      <c r="M701" s="37" t="str">
        <f>TEXT(B701,"mmm")</f>
        <v>Feb</v>
      </c>
    </row>
    <row r="702" spans="1:13">
      <c r="A702" s="16">
        <v>1701</v>
      </c>
      <c r="B702" s="15">
        <v>45877</v>
      </c>
      <c r="C702" s="16" t="s">
        <v>34</v>
      </c>
      <c r="D702" s="16" t="s">
        <v>26</v>
      </c>
      <c r="E702" s="16" t="s">
        <v>14</v>
      </c>
      <c r="F702" s="16" t="s">
        <v>12</v>
      </c>
      <c r="G702" s="16">
        <v>13</v>
      </c>
      <c r="H702" s="17">
        <v>15000</v>
      </c>
      <c r="I702" s="23">
        <v>0</v>
      </c>
      <c r="J702" s="28">
        <f>Table2[[#This Row],[Quantity]]*Table2[[#This Row],[Unit_Price]]</f>
        <v>195000</v>
      </c>
      <c r="K702" s="31">
        <f t="shared" si="10"/>
        <v>195000</v>
      </c>
      <c r="L702" s="31">
        <f>Table2[[#This Row],[gross sales]]-Table2[[#This Row],[net sale]]</f>
        <v>0</v>
      </c>
      <c r="M702" s="36" t="str">
        <f>TEXT(B702,"mmm")</f>
        <v>Aug</v>
      </c>
    </row>
    <row r="703" spans="1:13">
      <c r="A703" s="19">
        <v>1702</v>
      </c>
      <c r="B703" s="18">
        <v>45849</v>
      </c>
      <c r="C703" s="19" t="s">
        <v>16</v>
      </c>
      <c r="D703" s="19" t="s">
        <v>10</v>
      </c>
      <c r="E703" s="19" t="s">
        <v>17</v>
      </c>
      <c r="F703" s="19" t="s">
        <v>18</v>
      </c>
      <c r="G703" s="19">
        <v>11</v>
      </c>
      <c r="H703" s="20">
        <v>55000</v>
      </c>
      <c r="I703" s="24">
        <v>0.12</v>
      </c>
      <c r="J703" s="28">
        <f>Table2[[#This Row],[Quantity]]*Table2[[#This Row],[Unit_Price]]</f>
        <v>605000</v>
      </c>
      <c r="K703" s="31">
        <f t="shared" si="10"/>
        <v>532400</v>
      </c>
      <c r="L703" s="31">
        <f>Table2[[#This Row],[gross sales]]-Table2[[#This Row],[net sale]]</f>
        <v>72600</v>
      </c>
      <c r="M703" s="37" t="str">
        <f>TEXT(B703,"mmm")</f>
        <v>Jul</v>
      </c>
    </row>
    <row r="704" spans="1:13">
      <c r="A704" s="16">
        <v>1703</v>
      </c>
      <c r="B704" s="15">
        <v>46004</v>
      </c>
      <c r="C704" s="16" t="s">
        <v>16</v>
      </c>
      <c r="D704" s="16" t="s">
        <v>10</v>
      </c>
      <c r="E704" s="16" t="s">
        <v>11</v>
      </c>
      <c r="F704" s="16" t="s">
        <v>27</v>
      </c>
      <c r="G704" s="16">
        <v>8</v>
      </c>
      <c r="H704" s="17">
        <v>55000</v>
      </c>
      <c r="I704" s="23">
        <v>0.05</v>
      </c>
      <c r="J704" s="28">
        <f>Table2[[#This Row],[Quantity]]*Table2[[#This Row],[Unit_Price]]</f>
        <v>440000</v>
      </c>
      <c r="K704" s="31">
        <f t="shared" si="10"/>
        <v>418000</v>
      </c>
      <c r="L704" s="31">
        <f>Table2[[#This Row],[gross sales]]-Table2[[#This Row],[net sale]]</f>
        <v>22000</v>
      </c>
      <c r="M704" s="36" t="str">
        <f>TEXT(B704,"mmm")</f>
        <v>Dec</v>
      </c>
    </row>
    <row r="705" spans="1:13">
      <c r="A705" s="19">
        <v>1704</v>
      </c>
      <c r="B705" s="18">
        <v>45724</v>
      </c>
      <c r="C705" s="19" t="s">
        <v>9</v>
      </c>
      <c r="D705" s="19" t="s">
        <v>10</v>
      </c>
      <c r="E705" s="19" t="s">
        <v>11</v>
      </c>
      <c r="F705" s="19" t="s">
        <v>32</v>
      </c>
      <c r="G705" s="19">
        <v>13</v>
      </c>
      <c r="H705" s="20">
        <v>18000</v>
      </c>
      <c r="I705" s="24">
        <v>0.12</v>
      </c>
      <c r="J705" s="28">
        <f>Table2[[#This Row],[Quantity]]*Table2[[#This Row],[Unit_Price]]</f>
        <v>234000</v>
      </c>
      <c r="K705" s="31">
        <f t="shared" si="10"/>
        <v>205920</v>
      </c>
      <c r="L705" s="31">
        <f>Table2[[#This Row],[gross sales]]-Table2[[#This Row],[net sale]]</f>
        <v>28080</v>
      </c>
      <c r="M705" s="37" t="str">
        <f>TEXT(B705,"mmm")</f>
        <v>Mar</v>
      </c>
    </row>
    <row r="706" spans="1:13">
      <c r="A706" s="16">
        <v>1705</v>
      </c>
      <c r="B706" s="15">
        <v>45691</v>
      </c>
      <c r="C706" s="16" t="s">
        <v>38</v>
      </c>
      <c r="D706" s="16" t="s">
        <v>10</v>
      </c>
      <c r="E706" s="16" t="s">
        <v>11</v>
      </c>
      <c r="F706" s="16" t="s">
        <v>20</v>
      </c>
      <c r="G706" s="16">
        <v>2</v>
      </c>
      <c r="H706" s="17">
        <v>42000</v>
      </c>
      <c r="I706" s="23">
        <v>0.08</v>
      </c>
      <c r="J706" s="28">
        <f>Table2[[#This Row],[Quantity]]*Table2[[#This Row],[Unit_Price]]</f>
        <v>84000</v>
      </c>
      <c r="K706" s="31">
        <f t="shared" ref="K706:K769" si="11">J706*(1-I706)</f>
        <v>77280</v>
      </c>
      <c r="L706" s="31">
        <f>Table2[[#This Row],[gross sales]]-Table2[[#This Row],[net sale]]</f>
        <v>6720</v>
      </c>
      <c r="M706" s="36" t="str">
        <f>TEXT(B706,"mmm")</f>
        <v>Feb</v>
      </c>
    </row>
    <row r="707" spans="1:13">
      <c r="A707" s="19">
        <v>1706</v>
      </c>
      <c r="B707" s="18">
        <v>45924</v>
      </c>
      <c r="C707" s="19" t="s">
        <v>28</v>
      </c>
      <c r="D707" s="19" t="s">
        <v>26</v>
      </c>
      <c r="E707" s="19" t="s">
        <v>22</v>
      </c>
      <c r="F707" s="19" t="s">
        <v>32</v>
      </c>
      <c r="G707" s="19">
        <v>17</v>
      </c>
      <c r="H707" s="20">
        <v>9000</v>
      </c>
      <c r="I707" s="24">
        <v>0.08</v>
      </c>
      <c r="J707" s="28">
        <f>Table2[[#This Row],[Quantity]]*Table2[[#This Row],[Unit_Price]]</f>
        <v>153000</v>
      </c>
      <c r="K707" s="31">
        <f t="shared" si="11"/>
        <v>140760</v>
      </c>
      <c r="L707" s="31">
        <f>Table2[[#This Row],[gross sales]]-Table2[[#This Row],[net sale]]</f>
        <v>12240</v>
      </c>
      <c r="M707" s="37" t="str">
        <f>TEXT(B707,"mmm")</f>
        <v>Sep</v>
      </c>
    </row>
    <row r="708" spans="1:13">
      <c r="A708" s="16">
        <v>1707</v>
      </c>
      <c r="B708" s="15">
        <v>45833</v>
      </c>
      <c r="C708" s="16" t="s">
        <v>37</v>
      </c>
      <c r="D708" s="16" t="s">
        <v>36</v>
      </c>
      <c r="E708" s="16" t="s">
        <v>17</v>
      </c>
      <c r="F708" s="16" t="s">
        <v>32</v>
      </c>
      <c r="G708" s="16">
        <v>16</v>
      </c>
      <c r="H708" s="17">
        <v>1800</v>
      </c>
      <c r="I708" s="23">
        <v>0.08</v>
      </c>
      <c r="J708" s="28">
        <f>Table2[[#This Row],[Quantity]]*Table2[[#This Row],[Unit_Price]]</f>
        <v>28800</v>
      </c>
      <c r="K708" s="31">
        <f t="shared" si="11"/>
        <v>26496</v>
      </c>
      <c r="L708" s="31">
        <f>Table2[[#This Row],[gross sales]]-Table2[[#This Row],[net sale]]</f>
        <v>2304</v>
      </c>
      <c r="M708" s="36" t="str">
        <f>TEXT(B708,"mmm")</f>
        <v>Jun</v>
      </c>
    </row>
    <row r="709" spans="1:13">
      <c r="A709" s="19">
        <v>1708</v>
      </c>
      <c r="B709" s="18">
        <v>45864</v>
      </c>
      <c r="C709" s="19" t="s">
        <v>16</v>
      </c>
      <c r="D709" s="19" t="s">
        <v>10</v>
      </c>
      <c r="E709" s="19" t="s">
        <v>17</v>
      </c>
      <c r="F709" s="19" t="s">
        <v>12</v>
      </c>
      <c r="G709" s="19">
        <v>8</v>
      </c>
      <c r="H709" s="20">
        <v>55000</v>
      </c>
      <c r="I709" s="24">
        <v>0.05</v>
      </c>
      <c r="J709" s="28">
        <f>Table2[[#This Row],[Quantity]]*Table2[[#This Row],[Unit_Price]]</f>
        <v>440000</v>
      </c>
      <c r="K709" s="31">
        <f t="shared" si="11"/>
        <v>418000</v>
      </c>
      <c r="L709" s="31">
        <f>Table2[[#This Row],[gross sales]]-Table2[[#This Row],[net sale]]</f>
        <v>22000</v>
      </c>
      <c r="M709" s="37" t="str">
        <f>TEXT(B709,"mmm")</f>
        <v>Jul</v>
      </c>
    </row>
    <row r="710" spans="1:13">
      <c r="A710" s="16">
        <v>1709</v>
      </c>
      <c r="B710" s="15">
        <v>45669</v>
      </c>
      <c r="C710" s="16" t="s">
        <v>28</v>
      </c>
      <c r="D710" s="16" t="s">
        <v>26</v>
      </c>
      <c r="E710" s="16" t="s">
        <v>14</v>
      </c>
      <c r="F710" s="16" t="s">
        <v>23</v>
      </c>
      <c r="G710" s="16">
        <v>17</v>
      </c>
      <c r="H710" s="17">
        <v>9000</v>
      </c>
      <c r="I710" s="23">
        <v>0.05</v>
      </c>
      <c r="J710" s="28">
        <f>Table2[[#This Row],[Quantity]]*Table2[[#This Row],[Unit_Price]]</f>
        <v>153000</v>
      </c>
      <c r="K710" s="31">
        <f t="shared" si="11"/>
        <v>145350</v>
      </c>
      <c r="L710" s="31">
        <f>Table2[[#This Row],[gross sales]]-Table2[[#This Row],[net sale]]</f>
        <v>7650</v>
      </c>
      <c r="M710" s="36" t="str">
        <f>TEXT(B710,"mmm")</f>
        <v>Jan</v>
      </c>
    </row>
    <row r="711" spans="1:13">
      <c r="A711" s="19">
        <v>1710</v>
      </c>
      <c r="B711" s="18">
        <v>46022</v>
      </c>
      <c r="C711" s="19" t="s">
        <v>29</v>
      </c>
      <c r="D711" s="19" t="s">
        <v>30</v>
      </c>
      <c r="E711" s="19" t="s">
        <v>11</v>
      </c>
      <c r="F711" s="19" t="s">
        <v>18</v>
      </c>
      <c r="G711" s="19">
        <v>2</v>
      </c>
      <c r="H711" s="19">
        <v>250</v>
      </c>
      <c r="I711" s="24">
        <v>0.1</v>
      </c>
      <c r="J711" s="28">
        <f>Table2[[#This Row],[Quantity]]*Table2[[#This Row],[Unit_Price]]</f>
        <v>500</v>
      </c>
      <c r="K711" s="31">
        <f t="shared" si="11"/>
        <v>450</v>
      </c>
      <c r="L711" s="31">
        <f>Table2[[#This Row],[gross sales]]-Table2[[#This Row],[net sale]]</f>
        <v>50</v>
      </c>
      <c r="M711" s="37" t="str">
        <f>TEXT(B711,"mmm")</f>
        <v>Dec</v>
      </c>
    </row>
    <row r="712" spans="1:13">
      <c r="A712" s="16">
        <v>1711</v>
      </c>
      <c r="B712" s="15">
        <v>45962</v>
      </c>
      <c r="C712" s="16" t="s">
        <v>16</v>
      </c>
      <c r="D712" s="16" t="s">
        <v>10</v>
      </c>
      <c r="E712" s="16" t="s">
        <v>14</v>
      </c>
      <c r="F712" s="16" t="s">
        <v>18</v>
      </c>
      <c r="G712" s="16">
        <v>4</v>
      </c>
      <c r="H712" s="17">
        <v>55000</v>
      </c>
      <c r="I712" s="23">
        <v>0.15</v>
      </c>
      <c r="J712" s="28">
        <f>Table2[[#This Row],[Quantity]]*Table2[[#This Row],[Unit_Price]]</f>
        <v>220000</v>
      </c>
      <c r="K712" s="31">
        <f t="shared" si="11"/>
        <v>187000</v>
      </c>
      <c r="L712" s="31">
        <f>Table2[[#This Row],[gross sales]]-Table2[[#This Row],[net sale]]</f>
        <v>33000</v>
      </c>
      <c r="M712" s="36" t="str">
        <f>TEXT(B712,"mmm")</f>
        <v>Nov</v>
      </c>
    </row>
    <row r="713" spans="1:13">
      <c r="A713" s="19">
        <v>1712</v>
      </c>
      <c r="B713" s="18">
        <v>46011</v>
      </c>
      <c r="C713" s="19" t="s">
        <v>9</v>
      </c>
      <c r="D713" s="19" t="s">
        <v>10</v>
      </c>
      <c r="E713" s="19" t="s">
        <v>22</v>
      </c>
      <c r="F713" s="19" t="s">
        <v>24</v>
      </c>
      <c r="G713" s="19">
        <v>14</v>
      </c>
      <c r="H713" s="20">
        <v>18000</v>
      </c>
      <c r="I713" s="24">
        <v>0.1</v>
      </c>
      <c r="J713" s="28">
        <f>Table2[[#This Row],[Quantity]]*Table2[[#This Row],[Unit_Price]]</f>
        <v>252000</v>
      </c>
      <c r="K713" s="31">
        <f t="shared" si="11"/>
        <v>226800</v>
      </c>
      <c r="L713" s="31">
        <f>Table2[[#This Row],[gross sales]]-Table2[[#This Row],[net sale]]</f>
        <v>25200</v>
      </c>
      <c r="M713" s="37" t="str">
        <f>TEXT(B713,"mmm")</f>
        <v>Dec</v>
      </c>
    </row>
    <row r="714" spans="1:13">
      <c r="A714" s="16">
        <v>1713</v>
      </c>
      <c r="B714" s="15">
        <v>45938</v>
      </c>
      <c r="C714" s="16" t="s">
        <v>21</v>
      </c>
      <c r="D714" s="16" t="s">
        <v>10</v>
      </c>
      <c r="E714" s="16" t="s">
        <v>17</v>
      </c>
      <c r="F714" s="16" t="s">
        <v>12</v>
      </c>
      <c r="G714" s="16">
        <v>16</v>
      </c>
      <c r="H714" s="17">
        <v>14000</v>
      </c>
      <c r="I714" s="23">
        <v>0.15</v>
      </c>
      <c r="J714" s="28">
        <f>Table2[[#This Row],[Quantity]]*Table2[[#This Row],[Unit_Price]]</f>
        <v>224000</v>
      </c>
      <c r="K714" s="31">
        <f t="shared" si="11"/>
        <v>190400</v>
      </c>
      <c r="L714" s="31">
        <f>Table2[[#This Row],[gross sales]]-Table2[[#This Row],[net sale]]</f>
        <v>33600</v>
      </c>
      <c r="M714" s="36" t="str">
        <f>TEXT(B714,"mmm")</f>
        <v>Oct</v>
      </c>
    </row>
    <row r="715" spans="1:13">
      <c r="A715" s="19">
        <v>1714</v>
      </c>
      <c r="B715" s="18">
        <v>46013</v>
      </c>
      <c r="C715" s="19" t="s">
        <v>29</v>
      </c>
      <c r="D715" s="19" t="s">
        <v>30</v>
      </c>
      <c r="E715" s="19" t="s">
        <v>22</v>
      </c>
      <c r="F715" s="19" t="s">
        <v>24</v>
      </c>
      <c r="G715" s="19">
        <v>1</v>
      </c>
      <c r="H715" s="19">
        <v>250</v>
      </c>
      <c r="I715" s="24">
        <v>0.08</v>
      </c>
      <c r="J715" s="28">
        <f>Table2[[#This Row],[Quantity]]*Table2[[#This Row],[Unit_Price]]</f>
        <v>250</v>
      </c>
      <c r="K715" s="31">
        <f t="shared" si="11"/>
        <v>230</v>
      </c>
      <c r="L715" s="31">
        <f>Table2[[#This Row],[gross sales]]-Table2[[#This Row],[net sale]]</f>
        <v>20</v>
      </c>
      <c r="M715" s="37" t="str">
        <f>TEXT(B715,"mmm")</f>
        <v>Dec</v>
      </c>
    </row>
    <row r="716" spans="1:13">
      <c r="A716" s="16">
        <v>1715</v>
      </c>
      <c r="B716" s="15">
        <v>45997</v>
      </c>
      <c r="C716" s="16" t="s">
        <v>25</v>
      </c>
      <c r="D716" s="16" t="s">
        <v>26</v>
      </c>
      <c r="E716" s="16" t="s">
        <v>17</v>
      </c>
      <c r="F716" s="16" t="s">
        <v>15</v>
      </c>
      <c r="G716" s="16">
        <v>9</v>
      </c>
      <c r="H716" s="17">
        <v>11000</v>
      </c>
      <c r="I716" s="23">
        <v>0.12</v>
      </c>
      <c r="J716" s="28">
        <f>Table2[[#This Row],[Quantity]]*Table2[[#This Row],[Unit_Price]]</f>
        <v>99000</v>
      </c>
      <c r="K716" s="31">
        <f t="shared" si="11"/>
        <v>87120</v>
      </c>
      <c r="L716" s="31">
        <f>Table2[[#This Row],[gross sales]]-Table2[[#This Row],[net sale]]</f>
        <v>11880</v>
      </c>
      <c r="M716" s="36" t="str">
        <f>TEXT(B716,"mmm")</f>
        <v>Dec</v>
      </c>
    </row>
    <row r="717" spans="1:13">
      <c r="A717" s="19">
        <v>1716</v>
      </c>
      <c r="B717" s="18">
        <v>45711</v>
      </c>
      <c r="C717" s="19" t="s">
        <v>25</v>
      </c>
      <c r="D717" s="19" t="s">
        <v>26</v>
      </c>
      <c r="E717" s="19" t="s">
        <v>11</v>
      </c>
      <c r="F717" s="19" t="s">
        <v>24</v>
      </c>
      <c r="G717" s="19">
        <v>20</v>
      </c>
      <c r="H717" s="20">
        <v>11000</v>
      </c>
      <c r="I717" s="24">
        <v>0</v>
      </c>
      <c r="J717" s="28">
        <f>Table2[[#This Row],[Quantity]]*Table2[[#This Row],[Unit_Price]]</f>
        <v>220000</v>
      </c>
      <c r="K717" s="31">
        <f t="shared" si="11"/>
        <v>220000</v>
      </c>
      <c r="L717" s="31">
        <f>Table2[[#This Row],[gross sales]]-Table2[[#This Row],[net sale]]</f>
        <v>0</v>
      </c>
      <c r="M717" s="37" t="str">
        <f>TEXT(B717,"mmm")</f>
        <v>Feb</v>
      </c>
    </row>
    <row r="718" spans="1:13">
      <c r="A718" s="16">
        <v>1717</v>
      </c>
      <c r="B718" s="15">
        <v>45712</v>
      </c>
      <c r="C718" s="16" t="s">
        <v>34</v>
      </c>
      <c r="D718" s="16" t="s">
        <v>26</v>
      </c>
      <c r="E718" s="16" t="s">
        <v>17</v>
      </c>
      <c r="F718" s="16" t="s">
        <v>27</v>
      </c>
      <c r="G718" s="16">
        <v>7</v>
      </c>
      <c r="H718" s="17">
        <v>15000</v>
      </c>
      <c r="I718" s="23">
        <v>0.12</v>
      </c>
      <c r="J718" s="28">
        <f>Table2[[#This Row],[Quantity]]*Table2[[#This Row],[Unit_Price]]</f>
        <v>105000</v>
      </c>
      <c r="K718" s="31">
        <f t="shared" si="11"/>
        <v>92400</v>
      </c>
      <c r="L718" s="31">
        <f>Table2[[#This Row],[gross sales]]-Table2[[#This Row],[net sale]]</f>
        <v>12600</v>
      </c>
      <c r="M718" s="36" t="str">
        <f>TEXT(B718,"mmm")</f>
        <v>Feb</v>
      </c>
    </row>
    <row r="719" spans="1:13">
      <c r="A719" s="19">
        <v>1718</v>
      </c>
      <c r="B719" s="18">
        <v>45925</v>
      </c>
      <c r="C719" s="19" t="s">
        <v>19</v>
      </c>
      <c r="D719" s="19" t="s">
        <v>10</v>
      </c>
      <c r="E719" s="19" t="s">
        <v>22</v>
      </c>
      <c r="F719" s="19" t="s">
        <v>27</v>
      </c>
      <c r="G719" s="19">
        <v>12</v>
      </c>
      <c r="H719" s="19">
        <v>800</v>
      </c>
      <c r="I719" s="24">
        <v>0.15</v>
      </c>
      <c r="J719" s="28">
        <f>Table2[[#This Row],[Quantity]]*Table2[[#This Row],[Unit_Price]]</f>
        <v>9600</v>
      </c>
      <c r="K719" s="31">
        <f t="shared" si="11"/>
        <v>8160</v>
      </c>
      <c r="L719" s="31">
        <f>Table2[[#This Row],[gross sales]]-Table2[[#This Row],[net sale]]</f>
        <v>1440</v>
      </c>
      <c r="M719" s="37" t="str">
        <f>TEXT(B719,"mmm")</f>
        <v>Sep</v>
      </c>
    </row>
    <row r="720" spans="1:13">
      <c r="A720" s="16">
        <v>1719</v>
      </c>
      <c r="B720" s="15">
        <v>45740</v>
      </c>
      <c r="C720" s="16" t="s">
        <v>16</v>
      </c>
      <c r="D720" s="16" t="s">
        <v>10</v>
      </c>
      <c r="E720" s="16" t="s">
        <v>17</v>
      </c>
      <c r="F720" s="16" t="s">
        <v>20</v>
      </c>
      <c r="G720" s="16">
        <v>18</v>
      </c>
      <c r="H720" s="17">
        <v>55000</v>
      </c>
      <c r="I720" s="23">
        <v>0.1</v>
      </c>
      <c r="J720" s="28">
        <f>Table2[[#This Row],[Quantity]]*Table2[[#This Row],[Unit_Price]]</f>
        <v>990000</v>
      </c>
      <c r="K720" s="31">
        <f t="shared" si="11"/>
        <v>891000</v>
      </c>
      <c r="L720" s="31">
        <f>Table2[[#This Row],[gross sales]]-Table2[[#This Row],[net sale]]</f>
        <v>99000</v>
      </c>
      <c r="M720" s="36" t="str">
        <f>TEXT(B720,"mmm")</f>
        <v>Mar</v>
      </c>
    </row>
    <row r="721" spans="1:13">
      <c r="A721" s="19">
        <v>1720</v>
      </c>
      <c r="B721" s="18">
        <v>45827</v>
      </c>
      <c r="C721" s="19" t="s">
        <v>19</v>
      </c>
      <c r="D721" s="19" t="s">
        <v>10</v>
      </c>
      <c r="E721" s="19" t="s">
        <v>14</v>
      </c>
      <c r="F721" s="19" t="s">
        <v>24</v>
      </c>
      <c r="G721" s="19">
        <v>1</v>
      </c>
      <c r="H721" s="19">
        <v>800</v>
      </c>
      <c r="I721" s="24">
        <v>0</v>
      </c>
      <c r="J721" s="28">
        <f>Table2[[#This Row],[Quantity]]*Table2[[#This Row],[Unit_Price]]</f>
        <v>800</v>
      </c>
      <c r="K721" s="31">
        <f t="shared" si="11"/>
        <v>800</v>
      </c>
      <c r="L721" s="31">
        <f>Table2[[#This Row],[gross sales]]-Table2[[#This Row],[net sale]]</f>
        <v>0</v>
      </c>
      <c r="M721" s="37" t="str">
        <f>TEXT(B721,"mmm")</f>
        <v>Jun</v>
      </c>
    </row>
    <row r="722" spans="1:13">
      <c r="A722" s="16">
        <v>1721</v>
      </c>
      <c r="B722" s="15">
        <v>45951</v>
      </c>
      <c r="C722" s="16" t="s">
        <v>29</v>
      </c>
      <c r="D722" s="16" t="s">
        <v>30</v>
      </c>
      <c r="E722" s="16" t="s">
        <v>14</v>
      </c>
      <c r="F722" s="16" t="s">
        <v>24</v>
      </c>
      <c r="G722" s="16">
        <v>16</v>
      </c>
      <c r="H722" s="16">
        <v>250</v>
      </c>
      <c r="I722" s="23">
        <v>0.05</v>
      </c>
      <c r="J722" s="28">
        <f>Table2[[#This Row],[Quantity]]*Table2[[#This Row],[Unit_Price]]</f>
        <v>4000</v>
      </c>
      <c r="K722" s="31">
        <f t="shared" si="11"/>
        <v>3800</v>
      </c>
      <c r="L722" s="31">
        <f>Table2[[#This Row],[gross sales]]-Table2[[#This Row],[net sale]]</f>
        <v>200</v>
      </c>
      <c r="M722" s="36" t="str">
        <f>TEXT(B722,"mmm")</f>
        <v>Oct</v>
      </c>
    </row>
    <row r="723" spans="1:13">
      <c r="A723" s="19">
        <v>1722</v>
      </c>
      <c r="B723" s="18">
        <v>45709</v>
      </c>
      <c r="C723" s="19" t="s">
        <v>37</v>
      </c>
      <c r="D723" s="19" t="s">
        <v>36</v>
      </c>
      <c r="E723" s="19" t="s">
        <v>17</v>
      </c>
      <c r="F723" s="19" t="s">
        <v>20</v>
      </c>
      <c r="G723" s="19">
        <v>9</v>
      </c>
      <c r="H723" s="20">
        <v>1800</v>
      </c>
      <c r="I723" s="24">
        <v>0.15</v>
      </c>
      <c r="J723" s="28">
        <f>Table2[[#This Row],[Quantity]]*Table2[[#This Row],[Unit_Price]]</f>
        <v>16200</v>
      </c>
      <c r="K723" s="31">
        <f t="shared" si="11"/>
        <v>13770</v>
      </c>
      <c r="L723" s="31">
        <f>Table2[[#This Row],[gross sales]]-Table2[[#This Row],[net sale]]</f>
        <v>2430</v>
      </c>
      <c r="M723" s="37" t="str">
        <f>TEXT(B723,"mmm")</f>
        <v>Feb</v>
      </c>
    </row>
    <row r="724" spans="1:13">
      <c r="A724" s="16">
        <v>1723</v>
      </c>
      <c r="B724" s="15">
        <v>45809</v>
      </c>
      <c r="C724" s="16" t="s">
        <v>21</v>
      </c>
      <c r="D724" s="16" t="s">
        <v>10</v>
      </c>
      <c r="E724" s="16" t="s">
        <v>14</v>
      </c>
      <c r="F724" s="16" t="s">
        <v>32</v>
      </c>
      <c r="G724" s="16">
        <v>15</v>
      </c>
      <c r="H724" s="17">
        <v>14000</v>
      </c>
      <c r="I724" s="23">
        <v>0</v>
      </c>
      <c r="J724" s="28">
        <f>Table2[[#This Row],[Quantity]]*Table2[[#This Row],[Unit_Price]]</f>
        <v>210000</v>
      </c>
      <c r="K724" s="31">
        <f t="shared" si="11"/>
        <v>210000</v>
      </c>
      <c r="L724" s="31">
        <f>Table2[[#This Row],[gross sales]]-Table2[[#This Row],[net sale]]</f>
        <v>0</v>
      </c>
      <c r="M724" s="36" t="str">
        <f>TEXT(B724,"mmm")</f>
        <v>Jun</v>
      </c>
    </row>
    <row r="725" spans="1:13">
      <c r="A725" s="19">
        <v>1724</v>
      </c>
      <c r="B725" s="18">
        <v>45678</v>
      </c>
      <c r="C725" s="19" t="s">
        <v>38</v>
      </c>
      <c r="D725" s="19" t="s">
        <v>10</v>
      </c>
      <c r="E725" s="19" t="s">
        <v>11</v>
      </c>
      <c r="F725" s="19" t="s">
        <v>15</v>
      </c>
      <c r="G725" s="19">
        <v>10</v>
      </c>
      <c r="H725" s="20">
        <v>42000</v>
      </c>
      <c r="I725" s="24">
        <v>0.08</v>
      </c>
      <c r="J725" s="28">
        <f>Table2[[#This Row],[Quantity]]*Table2[[#This Row],[Unit_Price]]</f>
        <v>420000</v>
      </c>
      <c r="K725" s="31">
        <f t="shared" si="11"/>
        <v>386400</v>
      </c>
      <c r="L725" s="31">
        <f>Table2[[#This Row],[gross sales]]-Table2[[#This Row],[net sale]]</f>
        <v>33600</v>
      </c>
      <c r="M725" s="37" t="str">
        <f>TEXT(B725,"mmm")</f>
        <v>Jan</v>
      </c>
    </row>
    <row r="726" spans="1:13">
      <c r="A726" s="16">
        <v>1725</v>
      </c>
      <c r="B726" s="15">
        <v>45717</v>
      </c>
      <c r="C726" s="16" t="s">
        <v>9</v>
      </c>
      <c r="D726" s="16" t="s">
        <v>10</v>
      </c>
      <c r="E726" s="16" t="s">
        <v>17</v>
      </c>
      <c r="F726" s="16" t="s">
        <v>32</v>
      </c>
      <c r="G726" s="16">
        <v>2</v>
      </c>
      <c r="H726" s="17">
        <v>18000</v>
      </c>
      <c r="I726" s="23">
        <v>0</v>
      </c>
      <c r="J726" s="28">
        <f>Table2[[#This Row],[Quantity]]*Table2[[#This Row],[Unit_Price]]</f>
        <v>36000</v>
      </c>
      <c r="K726" s="31">
        <f t="shared" si="11"/>
        <v>36000</v>
      </c>
      <c r="L726" s="31">
        <f>Table2[[#This Row],[gross sales]]-Table2[[#This Row],[net sale]]</f>
        <v>0</v>
      </c>
      <c r="M726" s="36" t="str">
        <f>TEXT(B726,"mmm")</f>
        <v>Mar</v>
      </c>
    </row>
    <row r="727" spans="1:13">
      <c r="A727" s="19">
        <v>1726</v>
      </c>
      <c r="B727" s="18">
        <v>45826</v>
      </c>
      <c r="C727" s="19" t="s">
        <v>33</v>
      </c>
      <c r="D727" s="19" t="s">
        <v>10</v>
      </c>
      <c r="E727" s="19" t="s">
        <v>11</v>
      </c>
      <c r="F727" s="19" t="s">
        <v>24</v>
      </c>
      <c r="G727" s="19">
        <v>15</v>
      </c>
      <c r="H727" s="20">
        <v>2500</v>
      </c>
      <c r="I727" s="24">
        <v>0.12</v>
      </c>
      <c r="J727" s="28">
        <f>Table2[[#This Row],[Quantity]]*Table2[[#This Row],[Unit_Price]]</f>
        <v>37500</v>
      </c>
      <c r="K727" s="31">
        <f t="shared" si="11"/>
        <v>33000</v>
      </c>
      <c r="L727" s="31">
        <f>Table2[[#This Row],[gross sales]]-Table2[[#This Row],[net sale]]</f>
        <v>4500</v>
      </c>
      <c r="M727" s="37" t="str">
        <f>TEXT(B727,"mmm")</f>
        <v>Jun</v>
      </c>
    </row>
    <row r="728" spans="1:13">
      <c r="A728" s="16">
        <v>1727</v>
      </c>
      <c r="B728" s="15">
        <v>45848</v>
      </c>
      <c r="C728" s="16" t="s">
        <v>38</v>
      </c>
      <c r="D728" s="16" t="s">
        <v>10</v>
      </c>
      <c r="E728" s="16" t="s">
        <v>14</v>
      </c>
      <c r="F728" s="16" t="s">
        <v>15</v>
      </c>
      <c r="G728" s="16">
        <v>11</v>
      </c>
      <c r="H728" s="17">
        <v>42000</v>
      </c>
      <c r="I728" s="23">
        <v>0.05</v>
      </c>
      <c r="J728" s="28">
        <f>Table2[[#This Row],[Quantity]]*Table2[[#This Row],[Unit_Price]]</f>
        <v>462000</v>
      </c>
      <c r="K728" s="31">
        <f t="shared" si="11"/>
        <v>438900</v>
      </c>
      <c r="L728" s="31">
        <f>Table2[[#This Row],[gross sales]]-Table2[[#This Row],[net sale]]</f>
        <v>23100</v>
      </c>
      <c r="M728" s="36" t="str">
        <f>TEXT(B728,"mmm")</f>
        <v>Jul</v>
      </c>
    </row>
    <row r="729" spans="1:13">
      <c r="A729" s="19">
        <v>1728</v>
      </c>
      <c r="B729" s="18">
        <v>45862</v>
      </c>
      <c r="C729" s="19" t="s">
        <v>34</v>
      </c>
      <c r="D729" s="19" t="s">
        <v>26</v>
      </c>
      <c r="E729" s="19" t="s">
        <v>22</v>
      </c>
      <c r="F729" s="19" t="s">
        <v>15</v>
      </c>
      <c r="G729" s="19">
        <v>9</v>
      </c>
      <c r="H729" s="20">
        <v>15000</v>
      </c>
      <c r="I729" s="24">
        <v>0.1</v>
      </c>
      <c r="J729" s="28">
        <f>Table2[[#This Row],[Quantity]]*Table2[[#This Row],[Unit_Price]]</f>
        <v>135000</v>
      </c>
      <c r="K729" s="31">
        <f t="shared" si="11"/>
        <v>121500</v>
      </c>
      <c r="L729" s="31">
        <f>Table2[[#This Row],[gross sales]]-Table2[[#This Row],[net sale]]</f>
        <v>13500</v>
      </c>
      <c r="M729" s="37" t="str">
        <f>TEXT(B729,"mmm")</f>
        <v>Jul</v>
      </c>
    </row>
    <row r="730" spans="1:13">
      <c r="A730" s="16">
        <v>1729</v>
      </c>
      <c r="B730" s="15">
        <v>45990</v>
      </c>
      <c r="C730" s="16" t="s">
        <v>37</v>
      </c>
      <c r="D730" s="16" t="s">
        <v>36</v>
      </c>
      <c r="E730" s="16" t="s">
        <v>17</v>
      </c>
      <c r="F730" s="16" t="s">
        <v>18</v>
      </c>
      <c r="G730" s="16">
        <v>6</v>
      </c>
      <c r="H730" s="17">
        <v>1800</v>
      </c>
      <c r="I730" s="23">
        <v>0</v>
      </c>
      <c r="J730" s="28">
        <f>Table2[[#This Row],[Quantity]]*Table2[[#This Row],[Unit_Price]]</f>
        <v>10800</v>
      </c>
      <c r="K730" s="31">
        <f t="shared" si="11"/>
        <v>10800</v>
      </c>
      <c r="L730" s="31">
        <f>Table2[[#This Row],[gross sales]]-Table2[[#This Row],[net sale]]</f>
        <v>0</v>
      </c>
      <c r="M730" s="36" t="str">
        <f>TEXT(B730,"mmm")</f>
        <v>Nov</v>
      </c>
    </row>
    <row r="731" spans="1:13">
      <c r="A731" s="19">
        <v>1730</v>
      </c>
      <c r="B731" s="18">
        <v>45739</v>
      </c>
      <c r="C731" s="19" t="s">
        <v>9</v>
      </c>
      <c r="D731" s="19" t="s">
        <v>10</v>
      </c>
      <c r="E731" s="19" t="s">
        <v>22</v>
      </c>
      <c r="F731" s="19" t="s">
        <v>20</v>
      </c>
      <c r="G731" s="19">
        <v>14</v>
      </c>
      <c r="H731" s="20">
        <v>18000</v>
      </c>
      <c r="I731" s="24">
        <v>0.12</v>
      </c>
      <c r="J731" s="28">
        <f>Table2[[#This Row],[Quantity]]*Table2[[#This Row],[Unit_Price]]</f>
        <v>252000</v>
      </c>
      <c r="K731" s="31">
        <f t="shared" si="11"/>
        <v>221760</v>
      </c>
      <c r="L731" s="31">
        <f>Table2[[#This Row],[gross sales]]-Table2[[#This Row],[net sale]]</f>
        <v>30240</v>
      </c>
      <c r="M731" s="37" t="str">
        <f>TEXT(B731,"mmm")</f>
        <v>Mar</v>
      </c>
    </row>
    <row r="732" spans="1:13">
      <c r="A732" s="16">
        <v>1731</v>
      </c>
      <c r="B732" s="15">
        <v>45750</v>
      </c>
      <c r="C732" s="16" t="s">
        <v>28</v>
      </c>
      <c r="D732" s="16" t="s">
        <v>26</v>
      </c>
      <c r="E732" s="16" t="s">
        <v>14</v>
      </c>
      <c r="F732" s="16" t="s">
        <v>32</v>
      </c>
      <c r="G732" s="16">
        <v>13</v>
      </c>
      <c r="H732" s="17">
        <v>9000</v>
      </c>
      <c r="I732" s="23">
        <v>0.08</v>
      </c>
      <c r="J732" s="28">
        <f>Table2[[#This Row],[Quantity]]*Table2[[#This Row],[Unit_Price]]</f>
        <v>117000</v>
      </c>
      <c r="K732" s="31">
        <f t="shared" si="11"/>
        <v>107640</v>
      </c>
      <c r="L732" s="31">
        <f>Table2[[#This Row],[gross sales]]-Table2[[#This Row],[net sale]]</f>
        <v>9360</v>
      </c>
      <c r="M732" s="36" t="str">
        <f>TEXT(B732,"mmm")</f>
        <v>Apr</v>
      </c>
    </row>
    <row r="733" spans="1:13">
      <c r="A733" s="19">
        <v>1732</v>
      </c>
      <c r="B733" s="18">
        <v>45905</v>
      </c>
      <c r="C733" s="19" t="s">
        <v>37</v>
      </c>
      <c r="D733" s="19" t="s">
        <v>36</v>
      </c>
      <c r="E733" s="19" t="s">
        <v>22</v>
      </c>
      <c r="F733" s="19" t="s">
        <v>20</v>
      </c>
      <c r="G733" s="19">
        <v>16</v>
      </c>
      <c r="H733" s="20">
        <v>1800</v>
      </c>
      <c r="I733" s="24">
        <v>0</v>
      </c>
      <c r="J733" s="28">
        <f>Table2[[#This Row],[Quantity]]*Table2[[#This Row],[Unit_Price]]</f>
        <v>28800</v>
      </c>
      <c r="K733" s="31">
        <f t="shared" si="11"/>
        <v>28800</v>
      </c>
      <c r="L733" s="31">
        <f>Table2[[#This Row],[gross sales]]-Table2[[#This Row],[net sale]]</f>
        <v>0</v>
      </c>
      <c r="M733" s="37" t="str">
        <f>TEXT(B733,"mmm")</f>
        <v>Sep</v>
      </c>
    </row>
    <row r="734" spans="1:13">
      <c r="A734" s="16">
        <v>1733</v>
      </c>
      <c r="B734" s="15">
        <v>45681</v>
      </c>
      <c r="C734" s="16" t="s">
        <v>9</v>
      </c>
      <c r="D734" s="16" t="s">
        <v>10</v>
      </c>
      <c r="E734" s="16" t="s">
        <v>11</v>
      </c>
      <c r="F734" s="16" t="s">
        <v>18</v>
      </c>
      <c r="G734" s="16">
        <v>9</v>
      </c>
      <c r="H734" s="17">
        <v>18000</v>
      </c>
      <c r="I734" s="23">
        <v>0.15</v>
      </c>
      <c r="J734" s="28">
        <f>Table2[[#This Row],[Quantity]]*Table2[[#This Row],[Unit_Price]]</f>
        <v>162000</v>
      </c>
      <c r="K734" s="31">
        <f t="shared" si="11"/>
        <v>137700</v>
      </c>
      <c r="L734" s="31">
        <f>Table2[[#This Row],[gross sales]]-Table2[[#This Row],[net sale]]</f>
        <v>24300</v>
      </c>
      <c r="M734" s="36" t="str">
        <f>TEXT(B734,"mmm")</f>
        <v>Jan</v>
      </c>
    </row>
    <row r="735" spans="1:13">
      <c r="A735" s="19">
        <v>1734</v>
      </c>
      <c r="B735" s="18">
        <v>46018</v>
      </c>
      <c r="C735" s="19" t="s">
        <v>38</v>
      </c>
      <c r="D735" s="19" t="s">
        <v>10</v>
      </c>
      <c r="E735" s="19" t="s">
        <v>17</v>
      </c>
      <c r="F735" s="19" t="s">
        <v>23</v>
      </c>
      <c r="G735" s="19">
        <v>17</v>
      </c>
      <c r="H735" s="20">
        <v>42000</v>
      </c>
      <c r="I735" s="24">
        <v>0.15</v>
      </c>
      <c r="J735" s="28">
        <f>Table2[[#This Row],[Quantity]]*Table2[[#This Row],[Unit_Price]]</f>
        <v>714000</v>
      </c>
      <c r="K735" s="31">
        <f t="shared" si="11"/>
        <v>606900</v>
      </c>
      <c r="L735" s="31">
        <f>Table2[[#This Row],[gross sales]]-Table2[[#This Row],[net sale]]</f>
        <v>107100</v>
      </c>
      <c r="M735" s="37" t="str">
        <f>TEXT(B735,"mmm")</f>
        <v>Dec</v>
      </c>
    </row>
    <row r="736" spans="1:13">
      <c r="A736" s="16">
        <v>1735</v>
      </c>
      <c r="B736" s="15">
        <v>45923</v>
      </c>
      <c r="C736" s="16" t="s">
        <v>25</v>
      </c>
      <c r="D736" s="16" t="s">
        <v>26</v>
      </c>
      <c r="E736" s="16" t="s">
        <v>22</v>
      </c>
      <c r="F736" s="16" t="s">
        <v>12</v>
      </c>
      <c r="G736" s="16">
        <v>20</v>
      </c>
      <c r="H736" s="17">
        <v>11000</v>
      </c>
      <c r="I736" s="23">
        <v>0</v>
      </c>
      <c r="J736" s="28">
        <f>Table2[[#This Row],[Quantity]]*Table2[[#This Row],[Unit_Price]]</f>
        <v>220000</v>
      </c>
      <c r="K736" s="31">
        <f t="shared" si="11"/>
        <v>220000</v>
      </c>
      <c r="L736" s="31">
        <f>Table2[[#This Row],[gross sales]]-Table2[[#This Row],[net sale]]</f>
        <v>0</v>
      </c>
      <c r="M736" s="36" t="str">
        <f>TEXT(B736,"mmm")</f>
        <v>Sep</v>
      </c>
    </row>
    <row r="737" spans="1:13">
      <c r="A737" s="19">
        <v>1736</v>
      </c>
      <c r="B737" s="18">
        <v>45904</v>
      </c>
      <c r="C737" s="19" t="s">
        <v>33</v>
      </c>
      <c r="D737" s="19" t="s">
        <v>10</v>
      </c>
      <c r="E737" s="19" t="s">
        <v>14</v>
      </c>
      <c r="F737" s="19" t="s">
        <v>18</v>
      </c>
      <c r="G737" s="19">
        <v>13</v>
      </c>
      <c r="H737" s="20">
        <v>2500</v>
      </c>
      <c r="I737" s="24">
        <v>0.05</v>
      </c>
      <c r="J737" s="28">
        <f>Table2[[#This Row],[Quantity]]*Table2[[#This Row],[Unit_Price]]</f>
        <v>32500</v>
      </c>
      <c r="K737" s="31">
        <f t="shared" si="11"/>
        <v>30875</v>
      </c>
      <c r="L737" s="31">
        <f>Table2[[#This Row],[gross sales]]-Table2[[#This Row],[net sale]]</f>
        <v>1625</v>
      </c>
      <c r="M737" s="37" t="str">
        <f>TEXT(B737,"mmm")</f>
        <v>Sep</v>
      </c>
    </row>
    <row r="738" spans="1:13">
      <c r="A738" s="16">
        <v>1737</v>
      </c>
      <c r="B738" s="15">
        <v>45987</v>
      </c>
      <c r="C738" s="16" t="s">
        <v>37</v>
      </c>
      <c r="D738" s="16" t="s">
        <v>36</v>
      </c>
      <c r="E738" s="16" t="s">
        <v>22</v>
      </c>
      <c r="F738" s="16" t="s">
        <v>20</v>
      </c>
      <c r="G738" s="16">
        <v>6</v>
      </c>
      <c r="H738" s="17">
        <v>1800</v>
      </c>
      <c r="I738" s="23">
        <v>0.12</v>
      </c>
      <c r="J738" s="28">
        <f>Table2[[#This Row],[Quantity]]*Table2[[#This Row],[Unit_Price]]</f>
        <v>10800</v>
      </c>
      <c r="K738" s="31">
        <f t="shared" si="11"/>
        <v>9504</v>
      </c>
      <c r="L738" s="31">
        <f>Table2[[#This Row],[gross sales]]-Table2[[#This Row],[net sale]]</f>
        <v>1296</v>
      </c>
      <c r="M738" s="36" t="str">
        <f>TEXT(B738,"mmm")</f>
        <v>Nov</v>
      </c>
    </row>
    <row r="739" spans="1:13">
      <c r="A739" s="19">
        <v>1738</v>
      </c>
      <c r="B739" s="18">
        <v>45742</v>
      </c>
      <c r="C739" s="19" t="s">
        <v>9</v>
      </c>
      <c r="D739" s="19" t="s">
        <v>10</v>
      </c>
      <c r="E739" s="19" t="s">
        <v>17</v>
      </c>
      <c r="F739" s="19" t="s">
        <v>23</v>
      </c>
      <c r="G739" s="19">
        <v>16</v>
      </c>
      <c r="H739" s="20">
        <v>18000</v>
      </c>
      <c r="I739" s="24">
        <v>0.08</v>
      </c>
      <c r="J739" s="28">
        <f>Table2[[#This Row],[Quantity]]*Table2[[#This Row],[Unit_Price]]</f>
        <v>288000</v>
      </c>
      <c r="K739" s="31">
        <f t="shared" si="11"/>
        <v>264960</v>
      </c>
      <c r="L739" s="31">
        <f>Table2[[#This Row],[gross sales]]-Table2[[#This Row],[net sale]]</f>
        <v>23040</v>
      </c>
      <c r="M739" s="37" t="str">
        <f>TEXT(B739,"mmm")</f>
        <v>Mar</v>
      </c>
    </row>
    <row r="740" spans="1:13">
      <c r="A740" s="16">
        <v>1739</v>
      </c>
      <c r="B740" s="15">
        <v>45800</v>
      </c>
      <c r="C740" s="16" t="s">
        <v>16</v>
      </c>
      <c r="D740" s="16" t="s">
        <v>10</v>
      </c>
      <c r="E740" s="16" t="s">
        <v>22</v>
      </c>
      <c r="F740" s="16" t="s">
        <v>15</v>
      </c>
      <c r="G740" s="16">
        <v>17</v>
      </c>
      <c r="H740" s="17">
        <v>55000</v>
      </c>
      <c r="I740" s="23">
        <v>0.05</v>
      </c>
      <c r="J740" s="28">
        <f>Table2[[#This Row],[Quantity]]*Table2[[#This Row],[Unit_Price]]</f>
        <v>935000</v>
      </c>
      <c r="K740" s="31">
        <f t="shared" si="11"/>
        <v>888250</v>
      </c>
      <c r="L740" s="31">
        <f>Table2[[#This Row],[gross sales]]-Table2[[#This Row],[net sale]]</f>
        <v>46750</v>
      </c>
      <c r="M740" s="36" t="str">
        <f>TEXT(B740,"mmm")</f>
        <v>May</v>
      </c>
    </row>
    <row r="741" spans="1:13">
      <c r="A741" s="19">
        <v>1740</v>
      </c>
      <c r="B741" s="18">
        <v>45778</v>
      </c>
      <c r="C741" s="19" t="s">
        <v>9</v>
      </c>
      <c r="D741" s="19" t="s">
        <v>10</v>
      </c>
      <c r="E741" s="19" t="s">
        <v>22</v>
      </c>
      <c r="F741" s="19" t="s">
        <v>24</v>
      </c>
      <c r="G741" s="19">
        <v>15</v>
      </c>
      <c r="H741" s="20">
        <v>18000</v>
      </c>
      <c r="I741" s="24">
        <v>0.1</v>
      </c>
      <c r="J741" s="28">
        <f>Table2[[#This Row],[Quantity]]*Table2[[#This Row],[Unit_Price]]</f>
        <v>270000</v>
      </c>
      <c r="K741" s="31">
        <f t="shared" si="11"/>
        <v>243000</v>
      </c>
      <c r="L741" s="31">
        <f>Table2[[#This Row],[gross sales]]-Table2[[#This Row],[net sale]]</f>
        <v>27000</v>
      </c>
      <c r="M741" s="37" t="str">
        <f>TEXT(B741,"mmm")</f>
        <v>May</v>
      </c>
    </row>
    <row r="742" spans="1:13">
      <c r="A742" s="16">
        <v>1741</v>
      </c>
      <c r="B742" s="15">
        <v>45913</v>
      </c>
      <c r="C742" s="16" t="s">
        <v>34</v>
      </c>
      <c r="D742" s="16" t="s">
        <v>26</v>
      </c>
      <c r="E742" s="16" t="s">
        <v>22</v>
      </c>
      <c r="F742" s="16" t="s">
        <v>18</v>
      </c>
      <c r="G742" s="16">
        <v>11</v>
      </c>
      <c r="H742" s="17">
        <v>15000</v>
      </c>
      <c r="I742" s="23">
        <v>0</v>
      </c>
      <c r="J742" s="28">
        <f>Table2[[#This Row],[Quantity]]*Table2[[#This Row],[Unit_Price]]</f>
        <v>165000</v>
      </c>
      <c r="K742" s="31">
        <f t="shared" si="11"/>
        <v>165000</v>
      </c>
      <c r="L742" s="31">
        <f>Table2[[#This Row],[gross sales]]-Table2[[#This Row],[net sale]]</f>
        <v>0</v>
      </c>
      <c r="M742" s="36" t="str">
        <f>TEXT(B742,"mmm")</f>
        <v>Sep</v>
      </c>
    </row>
    <row r="743" spans="1:13">
      <c r="A743" s="19">
        <v>1742</v>
      </c>
      <c r="B743" s="18">
        <v>45710</v>
      </c>
      <c r="C743" s="19" t="s">
        <v>31</v>
      </c>
      <c r="D743" s="19" t="s">
        <v>26</v>
      </c>
      <c r="E743" s="19" t="s">
        <v>14</v>
      </c>
      <c r="F743" s="19" t="s">
        <v>24</v>
      </c>
      <c r="G743" s="19">
        <v>14</v>
      </c>
      <c r="H743" s="20">
        <v>8500</v>
      </c>
      <c r="I743" s="24">
        <v>0</v>
      </c>
      <c r="J743" s="28">
        <f>Table2[[#This Row],[Quantity]]*Table2[[#This Row],[Unit_Price]]</f>
        <v>119000</v>
      </c>
      <c r="K743" s="31">
        <f t="shared" si="11"/>
        <v>119000</v>
      </c>
      <c r="L743" s="31">
        <f>Table2[[#This Row],[gross sales]]-Table2[[#This Row],[net sale]]</f>
        <v>0</v>
      </c>
      <c r="M743" s="37" t="str">
        <f>TEXT(B743,"mmm")</f>
        <v>Feb</v>
      </c>
    </row>
    <row r="744" spans="1:13">
      <c r="A744" s="16">
        <v>1743</v>
      </c>
      <c r="B744" s="15">
        <v>45967</v>
      </c>
      <c r="C744" s="16" t="s">
        <v>28</v>
      </c>
      <c r="D744" s="16" t="s">
        <v>26</v>
      </c>
      <c r="E744" s="16" t="s">
        <v>17</v>
      </c>
      <c r="F744" s="16" t="s">
        <v>20</v>
      </c>
      <c r="G744" s="16">
        <v>10</v>
      </c>
      <c r="H744" s="17">
        <v>9000</v>
      </c>
      <c r="I744" s="23">
        <v>0.12</v>
      </c>
      <c r="J744" s="28">
        <f>Table2[[#This Row],[Quantity]]*Table2[[#This Row],[Unit_Price]]</f>
        <v>90000</v>
      </c>
      <c r="K744" s="31">
        <f t="shared" si="11"/>
        <v>79200</v>
      </c>
      <c r="L744" s="31">
        <f>Table2[[#This Row],[gross sales]]-Table2[[#This Row],[net sale]]</f>
        <v>10800</v>
      </c>
      <c r="M744" s="36" t="str">
        <f>TEXT(B744,"mmm")</f>
        <v>Nov</v>
      </c>
    </row>
    <row r="745" spans="1:13">
      <c r="A745" s="19">
        <v>1744</v>
      </c>
      <c r="B745" s="18">
        <v>45832</v>
      </c>
      <c r="C745" s="19" t="s">
        <v>33</v>
      </c>
      <c r="D745" s="19" t="s">
        <v>10</v>
      </c>
      <c r="E745" s="19" t="s">
        <v>22</v>
      </c>
      <c r="F745" s="19" t="s">
        <v>23</v>
      </c>
      <c r="G745" s="19">
        <v>2</v>
      </c>
      <c r="H745" s="20">
        <v>2500</v>
      </c>
      <c r="I745" s="24">
        <v>0.05</v>
      </c>
      <c r="J745" s="28">
        <f>Table2[[#This Row],[Quantity]]*Table2[[#This Row],[Unit_Price]]</f>
        <v>5000</v>
      </c>
      <c r="K745" s="31">
        <f t="shared" si="11"/>
        <v>4750</v>
      </c>
      <c r="L745" s="31">
        <f>Table2[[#This Row],[gross sales]]-Table2[[#This Row],[net sale]]</f>
        <v>250</v>
      </c>
      <c r="M745" s="37" t="str">
        <f>TEXT(B745,"mmm")</f>
        <v>Jun</v>
      </c>
    </row>
    <row r="746" spans="1:13">
      <c r="A746" s="16">
        <v>1745</v>
      </c>
      <c r="B746" s="15">
        <v>45944</v>
      </c>
      <c r="C746" s="16" t="s">
        <v>35</v>
      </c>
      <c r="D746" s="16" t="s">
        <v>36</v>
      </c>
      <c r="E746" s="16" t="s">
        <v>22</v>
      </c>
      <c r="F746" s="16" t="s">
        <v>23</v>
      </c>
      <c r="G746" s="16">
        <v>20</v>
      </c>
      <c r="H746" s="17">
        <v>3500</v>
      </c>
      <c r="I746" s="23">
        <v>0.12</v>
      </c>
      <c r="J746" s="28">
        <f>Table2[[#This Row],[Quantity]]*Table2[[#This Row],[Unit_Price]]</f>
        <v>70000</v>
      </c>
      <c r="K746" s="31">
        <f t="shared" si="11"/>
        <v>61600</v>
      </c>
      <c r="L746" s="31">
        <f>Table2[[#This Row],[gross sales]]-Table2[[#This Row],[net sale]]</f>
        <v>8400</v>
      </c>
      <c r="M746" s="36" t="str">
        <f>TEXT(B746,"mmm")</f>
        <v>Oct</v>
      </c>
    </row>
    <row r="747" spans="1:13">
      <c r="A747" s="19">
        <v>1746</v>
      </c>
      <c r="B747" s="18">
        <v>45889</v>
      </c>
      <c r="C747" s="19" t="s">
        <v>9</v>
      </c>
      <c r="D747" s="19" t="s">
        <v>10</v>
      </c>
      <c r="E747" s="19" t="s">
        <v>17</v>
      </c>
      <c r="F747" s="19" t="s">
        <v>18</v>
      </c>
      <c r="G747" s="19">
        <v>4</v>
      </c>
      <c r="H747" s="20">
        <v>18000</v>
      </c>
      <c r="I747" s="24">
        <v>0.15</v>
      </c>
      <c r="J747" s="28">
        <f>Table2[[#This Row],[Quantity]]*Table2[[#This Row],[Unit_Price]]</f>
        <v>72000</v>
      </c>
      <c r="K747" s="31">
        <f t="shared" si="11"/>
        <v>61200</v>
      </c>
      <c r="L747" s="31">
        <f>Table2[[#This Row],[gross sales]]-Table2[[#This Row],[net sale]]</f>
        <v>10800</v>
      </c>
      <c r="M747" s="37" t="str">
        <f>TEXT(B747,"mmm")</f>
        <v>Aug</v>
      </c>
    </row>
    <row r="748" spans="1:13">
      <c r="A748" s="16">
        <v>1747</v>
      </c>
      <c r="B748" s="15">
        <v>45832</v>
      </c>
      <c r="C748" s="16" t="s">
        <v>33</v>
      </c>
      <c r="D748" s="16" t="s">
        <v>10</v>
      </c>
      <c r="E748" s="16" t="s">
        <v>11</v>
      </c>
      <c r="F748" s="16" t="s">
        <v>24</v>
      </c>
      <c r="G748" s="16">
        <v>10</v>
      </c>
      <c r="H748" s="17">
        <v>2500</v>
      </c>
      <c r="I748" s="23">
        <v>0.12</v>
      </c>
      <c r="J748" s="28">
        <f>Table2[[#This Row],[Quantity]]*Table2[[#This Row],[Unit_Price]]</f>
        <v>25000</v>
      </c>
      <c r="K748" s="31">
        <f t="shared" si="11"/>
        <v>22000</v>
      </c>
      <c r="L748" s="31">
        <f>Table2[[#This Row],[gross sales]]-Table2[[#This Row],[net sale]]</f>
        <v>3000</v>
      </c>
      <c r="M748" s="36" t="str">
        <f>TEXT(B748,"mmm")</f>
        <v>Jun</v>
      </c>
    </row>
    <row r="749" spans="1:13">
      <c r="A749" s="19">
        <v>1748</v>
      </c>
      <c r="B749" s="18">
        <v>45681</v>
      </c>
      <c r="C749" s="19" t="s">
        <v>37</v>
      </c>
      <c r="D749" s="19" t="s">
        <v>36</v>
      </c>
      <c r="E749" s="19" t="s">
        <v>17</v>
      </c>
      <c r="F749" s="19" t="s">
        <v>15</v>
      </c>
      <c r="G749" s="19">
        <v>6</v>
      </c>
      <c r="H749" s="20">
        <v>1800</v>
      </c>
      <c r="I749" s="24">
        <v>0.1</v>
      </c>
      <c r="J749" s="28">
        <f>Table2[[#This Row],[Quantity]]*Table2[[#This Row],[Unit_Price]]</f>
        <v>10800</v>
      </c>
      <c r="K749" s="31">
        <f t="shared" si="11"/>
        <v>9720</v>
      </c>
      <c r="L749" s="31">
        <f>Table2[[#This Row],[gross sales]]-Table2[[#This Row],[net sale]]</f>
        <v>1080</v>
      </c>
      <c r="M749" s="37" t="str">
        <f>TEXT(B749,"mmm")</f>
        <v>Jan</v>
      </c>
    </row>
    <row r="750" spans="1:13">
      <c r="A750" s="16">
        <v>1749</v>
      </c>
      <c r="B750" s="15">
        <v>45712</v>
      </c>
      <c r="C750" s="16" t="s">
        <v>21</v>
      </c>
      <c r="D750" s="16" t="s">
        <v>10</v>
      </c>
      <c r="E750" s="16" t="s">
        <v>17</v>
      </c>
      <c r="F750" s="16" t="s">
        <v>24</v>
      </c>
      <c r="G750" s="16">
        <v>20</v>
      </c>
      <c r="H750" s="17">
        <v>14000</v>
      </c>
      <c r="I750" s="23">
        <v>0.05</v>
      </c>
      <c r="J750" s="28">
        <f>Table2[[#This Row],[Quantity]]*Table2[[#This Row],[Unit_Price]]</f>
        <v>280000</v>
      </c>
      <c r="K750" s="31">
        <f t="shared" si="11"/>
        <v>266000</v>
      </c>
      <c r="L750" s="31">
        <f>Table2[[#This Row],[gross sales]]-Table2[[#This Row],[net sale]]</f>
        <v>14000</v>
      </c>
      <c r="M750" s="36" t="str">
        <f>TEXT(B750,"mmm")</f>
        <v>Feb</v>
      </c>
    </row>
    <row r="751" spans="1:13">
      <c r="A751" s="19">
        <v>1750</v>
      </c>
      <c r="B751" s="18">
        <v>45859</v>
      </c>
      <c r="C751" s="19" t="s">
        <v>19</v>
      </c>
      <c r="D751" s="19" t="s">
        <v>10</v>
      </c>
      <c r="E751" s="21" t="s">
        <v>50</v>
      </c>
      <c r="F751" s="19" t="s">
        <v>24</v>
      </c>
      <c r="G751" s="19">
        <v>15</v>
      </c>
      <c r="H751" s="19">
        <v>800</v>
      </c>
      <c r="I751" s="24">
        <v>0.05</v>
      </c>
      <c r="J751" s="28">
        <f>Table2[[#This Row],[Quantity]]*Table2[[#This Row],[Unit_Price]]</f>
        <v>12000</v>
      </c>
      <c r="K751" s="31">
        <f t="shared" si="11"/>
        <v>11400</v>
      </c>
      <c r="L751" s="31">
        <f>Table2[[#This Row],[gross sales]]-Table2[[#This Row],[net sale]]</f>
        <v>600</v>
      </c>
      <c r="M751" s="37" t="str">
        <f>TEXT(B751,"mmm")</f>
        <v>Jul</v>
      </c>
    </row>
    <row r="752" spans="1:13">
      <c r="A752" s="16">
        <v>1751</v>
      </c>
      <c r="B752" s="15">
        <v>45870</v>
      </c>
      <c r="C752" s="16" t="s">
        <v>16</v>
      </c>
      <c r="D752" s="16" t="s">
        <v>10</v>
      </c>
      <c r="E752" s="16" t="s">
        <v>22</v>
      </c>
      <c r="F752" s="16" t="s">
        <v>20</v>
      </c>
      <c r="G752" s="16">
        <v>19</v>
      </c>
      <c r="H752" s="17">
        <v>55000</v>
      </c>
      <c r="I752" s="23">
        <v>0</v>
      </c>
      <c r="J752" s="28">
        <f>Table2[[#This Row],[Quantity]]*Table2[[#This Row],[Unit_Price]]</f>
        <v>1045000</v>
      </c>
      <c r="K752" s="31">
        <f t="shared" si="11"/>
        <v>1045000</v>
      </c>
      <c r="L752" s="31">
        <f>Table2[[#This Row],[gross sales]]-Table2[[#This Row],[net sale]]</f>
        <v>0</v>
      </c>
      <c r="M752" s="36" t="str">
        <f>TEXT(B752,"mmm")</f>
        <v>Aug</v>
      </c>
    </row>
    <row r="753" spans="1:13">
      <c r="A753" s="19">
        <v>1752</v>
      </c>
      <c r="B753" s="18">
        <v>45995</v>
      </c>
      <c r="C753" s="19" t="s">
        <v>28</v>
      </c>
      <c r="D753" s="19" t="s">
        <v>26</v>
      </c>
      <c r="E753" s="19" t="s">
        <v>22</v>
      </c>
      <c r="F753" s="19" t="s">
        <v>18</v>
      </c>
      <c r="G753" s="19">
        <v>17</v>
      </c>
      <c r="H753" s="20">
        <v>9000</v>
      </c>
      <c r="I753" s="24">
        <v>0.05</v>
      </c>
      <c r="J753" s="28">
        <f>Table2[[#This Row],[Quantity]]*Table2[[#This Row],[Unit_Price]]</f>
        <v>153000</v>
      </c>
      <c r="K753" s="31">
        <f t="shared" si="11"/>
        <v>145350</v>
      </c>
      <c r="L753" s="31">
        <f>Table2[[#This Row],[gross sales]]-Table2[[#This Row],[net sale]]</f>
        <v>7650</v>
      </c>
      <c r="M753" s="37" t="str">
        <f>TEXT(B753,"mmm")</f>
        <v>Dec</v>
      </c>
    </row>
    <row r="754" spans="1:13">
      <c r="A754" s="16">
        <v>1753</v>
      </c>
      <c r="B754" s="15">
        <v>45929</v>
      </c>
      <c r="C754" s="16" t="s">
        <v>39</v>
      </c>
      <c r="D754" s="16" t="s">
        <v>30</v>
      </c>
      <c r="E754" s="16" t="s">
        <v>22</v>
      </c>
      <c r="F754" s="16" t="s">
        <v>20</v>
      </c>
      <c r="G754" s="16">
        <v>2</v>
      </c>
      <c r="H754" s="16">
        <v>180</v>
      </c>
      <c r="I754" s="23">
        <v>0.12</v>
      </c>
      <c r="J754" s="28">
        <f>Table2[[#This Row],[Quantity]]*Table2[[#This Row],[Unit_Price]]</f>
        <v>360</v>
      </c>
      <c r="K754" s="31">
        <f t="shared" si="11"/>
        <v>316.8</v>
      </c>
      <c r="L754" s="31">
        <f>Table2[[#This Row],[gross sales]]-Table2[[#This Row],[net sale]]</f>
        <v>43.199999999999989</v>
      </c>
      <c r="M754" s="36" t="str">
        <f>TEXT(B754,"mmm")</f>
        <v>Sep</v>
      </c>
    </row>
    <row r="755" spans="1:13">
      <c r="A755" s="19">
        <v>1754</v>
      </c>
      <c r="B755" s="18">
        <v>45918</v>
      </c>
      <c r="C755" s="19" t="s">
        <v>35</v>
      </c>
      <c r="D755" s="19" t="s">
        <v>36</v>
      </c>
      <c r="E755" s="19" t="s">
        <v>17</v>
      </c>
      <c r="F755" s="19" t="s">
        <v>32</v>
      </c>
      <c r="G755" s="19">
        <v>6</v>
      </c>
      <c r="H755" s="20">
        <v>3500</v>
      </c>
      <c r="I755" s="24">
        <v>0.15</v>
      </c>
      <c r="J755" s="28">
        <f>Table2[[#This Row],[Quantity]]*Table2[[#This Row],[Unit_Price]]</f>
        <v>21000</v>
      </c>
      <c r="K755" s="31">
        <f t="shared" si="11"/>
        <v>17850</v>
      </c>
      <c r="L755" s="31">
        <f>Table2[[#This Row],[gross sales]]-Table2[[#This Row],[net sale]]</f>
        <v>3150</v>
      </c>
      <c r="M755" s="37" t="str">
        <f>TEXT(B755,"mmm")</f>
        <v>Sep</v>
      </c>
    </row>
    <row r="756" spans="1:13">
      <c r="A756" s="16">
        <v>1755</v>
      </c>
      <c r="B756" s="15">
        <v>45711</v>
      </c>
      <c r="C756" s="16" t="s">
        <v>31</v>
      </c>
      <c r="D756" s="16" t="s">
        <v>26</v>
      </c>
      <c r="E756" s="16" t="s">
        <v>11</v>
      </c>
      <c r="F756" s="16" t="s">
        <v>15</v>
      </c>
      <c r="G756" s="16">
        <v>20</v>
      </c>
      <c r="H756" s="17">
        <v>8500</v>
      </c>
      <c r="I756" s="23">
        <v>0.12</v>
      </c>
      <c r="J756" s="28">
        <f>Table2[[#This Row],[Quantity]]*Table2[[#This Row],[Unit_Price]]</f>
        <v>170000</v>
      </c>
      <c r="K756" s="31">
        <f t="shared" si="11"/>
        <v>149600</v>
      </c>
      <c r="L756" s="31">
        <f>Table2[[#This Row],[gross sales]]-Table2[[#This Row],[net sale]]</f>
        <v>20400</v>
      </c>
      <c r="M756" s="36" t="str">
        <f>TEXT(B756,"mmm")</f>
        <v>Feb</v>
      </c>
    </row>
    <row r="757" spans="1:13">
      <c r="A757" s="19">
        <v>1756</v>
      </c>
      <c r="B757" s="18">
        <v>45872</v>
      </c>
      <c r="C757" s="19" t="s">
        <v>28</v>
      </c>
      <c r="D757" s="19" t="s">
        <v>26</v>
      </c>
      <c r="E757" s="19" t="s">
        <v>22</v>
      </c>
      <c r="F757" s="19" t="s">
        <v>23</v>
      </c>
      <c r="G757" s="19">
        <v>8</v>
      </c>
      <c r="H757" s="20">
        <v>9000</v>
      </c>
      <c r="I757" s="24">
        <v>0.08</v>
      </c>
      <c r="J757" s="28">
        <f>Table2[[#This Row],[Quantity]]*Table2[[#This Row],[Unit_Price]]</f>
        <v>72000</v>
      </c>
      <c r="K757" s="31">
        <f t="shared" si="11"/>
        <v>66240</v>
      </c>
      <c r="L757" s="31">
        <f>Table2[[#This Row],[gross sales]]-Table2[[#This Row],[net sale]]</f>
        <v>5760</v>
      </c>
      <c r="M757" s="37" t="str">
        <f>TEXT(B757,"mmm")</f>
        <v>Aug</v>
      </c>
    </row>
    <row r="758" spans="1:13">
      <c r="A758" s="16">
        <v>1757</v>
      </c>
      <c r="B758" s="15">
        <v>45808</v>
      </c>
      <c r="C758" s="16" t="s">
        <v>34</v>
      </c>
      <c r="D758" s="16" t="s">
        <v>26</v>
      </c>
      <c r="E758" s="16" t="s">
        <v>22</v>
      </c>
      <c r="F758" s="16" t="s">
        <v>27</v>
      </c>
      <c r="G758" s="16">
        <v>5</v>
      </c>
      <c r="H758" s="17">
        <v>15000</v>
      </c>
      <c r="I758" s="23">
        <v>0.05</v>
      </c>
      <c r="J758" s="28">
        <f>Table2[[#This Row],[Quantity]]*Table2[[#This Row],[Unit_Price]]</f>
        <v>75000</v>
      </c>
      <c r="K758" s="31">
        <f t="shared" si="11"/>
        <v>71250</v>
      </c>
      <c r="L758" s="31">
        <f>Table2[[#This Row],[gross sales]]-Table2[[#This Row],[net sale]]</f>
        <v>3750</v>
      </c>
      <c r="M758" s="36" t="str">
        <f>TEXT(B758,"mmm")</f>
        <v>May</v>
      </c>
    </row>
    <row r="759" spans="1:13">
      <c r="A759" s="19">
        <v>1758</v>
      </c>
      <c r="B759" s="18">
        <v>46017</v>
      </c>
      <c r="C759" s="19" t="s">
        <v>25</v>
      </c>
      <c r="D759" s="19" t="s">
        <v>26</v>
      </c>
      <c r="E759" s="19" t="s">
        <v>17</v>
      </c>
      <c r="F759" s="19" t="s">
        <v>12</v>
      </c>
      <c r="G759" s="19">
        <v>11</v>
      </c>
      <c r="H759" s="20">
        <v>11000</v>
      </c>
      <c r="I759" s="24">
        <v>0.15</v>
      </c>
      <c r="J759" s="28">
        <f>Table2[[#This Row],[Quantity]]*Table2[[#This Row],[Unit_Price]]</f>
        <v>121000</v>
      </c>
      <c r="K759" s="31">
        <f t="shared" si="11"/>
        <v>102850</v>
      </c>
      <c r="L759" s="31">
        <f>Table2[[#This Row],[gross sales]]-Table2[[#This Row],[net sale]]</f>
        <v>18150</v>
      </c>
      <c r="M759" s="37" t="str">
        <f>TEXT(B759,"mmm")</f>
        <v>Dec</v>
      </c>
    </row>
    <row r="760" spans="1:13">
      <c r="A760" s="16">
        <v>1759</v>
      </c>
      <c r="B760" s="15">
        <v>45765</v>
      </c>
      <c r="C760" s="16" t="s">
        <v>28</v>
      </c>
      <c r="D760" s="16" t="s">
        <v>26</v>
      </c>
      <c r="E760" s="16" t="s">
        <v>11</v>
      </c>
      <c r="F760" s="16" t="s">
        <v>32</v>
      </c>
      <c r="G760" s="16">
        <v>10</v>
      </c>
      <c r="H760" s="17">
        <v>9000</v>
      </c>
      <c r="I760" s="23">
        <v>0.15</v>
      </c>
      <c r="J760" s="28">
        <f>Table2[[#This Row],[Quantity]]*Table2[[#This Row],[Unit_Price]]</f>
        <v>90000</v>
      </c>
      <c r="K760" s="31">
        <f t="shared" si="11"/>
        <v>76500</v>
      </c>
      <c r="L760" s="31">
        <f>Table2[[#This Row],[gross sales]]-Table2[[#This Row],[net sale]]</f>
        <v>13500</v>
      </c>
      <c r="M760" s="36" t="str">
        <f>TEXT(B760,"mmm")</f>
        <v>Apr</v>
      </c>
    </row>
    <row r="761" spans="1:13">
      <c r="A761" s="19">
        <v>1760</v>
      </c>
      <c r="B761" s="18">
        <v>46021</v>
      </c>
      <c r="C761" s="19" t="s">
        <v>29</v>
      </c>
      <c r="D761" s="19" t="s">
        <v>30</v>
      </c>
      <c r="E761" s="19" t="s">
        <v>11</v>
      </c>
      <c r="F761" s="19" t="s">
        <v>24</v>
      </c>
      <c r="G761" s="19">
        <v>6</v>
      </c>
      <c r="H761" s="19">
        <v>250</v>
      </c>
      <c r="I761" s="24">
        <v>0.12</v>
      </c>
      <c r="J761" s="28">
        <f>Table2[[#This Row],[Quantity]]*Table2[[#This Row],[Unit_Price]]</f>
        <v>1500</v>
      </c>
      <c r="K761" s="31">
        <f t="shared" si="11"/>
        <v>1320</v>
      </c>
      <c r="L761" s="31">
        <f>Table2[[#This Row],[gross sales]]-Table2[[#This Row],[net sale]]</f>
        <v>180</v>
      </c>
      <c r="M761" s="37" t="str">
        <f>TEXT(B761,"mmm")</f>
        <v>Dec</v>
      </c>
    </row>
    <row r="762" spans="1:13">
      <c r="A762" s="16">
        <v>1761</v>
      </c>
      <c r="B762" s="15">
        <v>45838</v>
      </c>
      <c r="C762" s="16" t="s">
        <v>25</v>
      </c>
      <c r="D762" s="16" t="s">
        <v>26</v>
      </c>
      <c r="E762" s="16" t="s">
        <v>22</v>
      </c>
      <c r="F762" s="16" t="s">
        <v>27</v>
      </c>
      <c r="G762" s="16">
        <v>16</v>
      </c>
      <c r="H762" s="17">
        <v>11000</v>
      </c>
      <c r="I762" s="23">
        <v>0.12</v>
      </c>
      <c r="J762" s="28">
        <f>Table2[[#This Row],[Quantity]]*Table2[[#This Row],[Unit_Price]]</f>
        <v>176000</v>
      </c>
      <c r="K762" s="31">
        <f t="shared" si="11"/>
        <v>154880</v>
      </c>
      <c r="L762" s="31">
        <f>Table2[[#This Row],[gross sales]]-Table2[[#This Row],[net sale]]</f>
        <v>21120</v>
      </c>
      <c r="M762" s="36" t="str">
        <f>TEXT(B762,"mmm")</f>
        <v>Jun</v>
      </c>
    </row>
    <row r="763" spans="1:13">
      <c r="A763" s="19">
        <v>1762</v>
      </c>
      <c r="B763" s="18">
        <v>45874</v>
      </c>
      <c r="C763" s="19" t="s">
        <v>35</v>
      </c>
      <c r="D763" s="19" t="s">
        <v>36</v>
      </c>
      <c r="E763" s="19" t="s">
        <v>14</v>
      </c>
      <c r="F763" s="19" t="s">
        <v>18</v>
      </c>
      <c r="G763" s="19">
        <v>1</v>
      </c>
      <c r="H763" s="20">
        <v>3500</v>
      </c>
      <c r="I763" s="24">
        <v>0.12</v>
      </c>
      <c r="J763" s="28">
        <f>Table2[[#This Row],[Quantity]]*Table2[[#This Row],[Unit_Price]]</f>
        <v>3500</v>
      </c>
      <c r="K763" s="31">
        <f t="shared" si="11"/>
        <v>3080</v>
      </c>
      <c r="L763" s="31">
        <f>Table2[[#This Row],[gross sales]]-Table2[[#This Row],[net sale]]</f>
        <v>420</v>
      </c>
      <c r="M763" s="37" t="str">
        <f>TEXT(B763,"mmm")</f>
        <v>Aug</v>
      </c>
    </row>
    <row r="764" spans="1:13">
      <c r="A764" s="16">
        <v>1763</v>
      </c>
      <c r="B764" s="15">
        <v>45853</v>
      </c>
      <c r="C764" s="16" t="s">
        <v>13</v>
      </c>
      <c r="D764" s="16" t="s">
        <v>10</v>
      </c>
      <c r="E764" s="16" t="s">
        <v>14</v>
      </c>
      <c r="F764" s="16" t="s">
        <v>12</v>
      </c>
      <c r="G764" s="16">
        <v>2</v>
      </c>
      <c r="H764" s="17">
        <v>1200</v>
      </c>
      <c r="I764" s="23">
        <v>0.15</v>
      </c>
      <c r="J764" s="28">
        <f>Table2[[#This Row],[Quantity]]*Table2[[#This Row],[Unit_Price]]</f>
        <v>2400</v>
      </c>
      <c r="K764" s="31">
        <f t="shared" si="11"/>
        <v>2040</v>
      </c>
      <c r="L764" s="31">
        <f>Table2[[#This Row],[gross sales]]-Table2[[#This Row],[net sale]]</f>
        <v>360</v>
      </c>
      <c r="M764" s="36" t="str">
        <f>TEXT(B764,"mmm")</f>
        <v>Jul</v>
      </c>
    </row>
    <row r="765" spans="1:13">
      <c r="A765" s="19">
        <v>1764</v>
      </c>
      <c r="B765" s="18">
        <v>45794</v>
      </c>
      <c r="C765" s="19" t="s">
        <v>35</v>
      </c>
      <c r="D765" s="19" t="s">
        <v>36</v>
      </c>
      <c r="E765" s="19" t="s">
        <v>11</v>
      </c>
      <c r="F765" s="19" t="s">
        <v>32</v>
      </c>
      <c r="G765" s="19">
        <v>6</v>
      </c>
      <c r="H765" s="20">
        <v>3500</v>
      </c>
      <c r="I765" s="24">
        <v>0.08</v>
      </c>
      <c r="J765" s="28">
        <f>Table2[[#This Row],[Quantity]]*Table2[[#This Row],[Unit_Price]]</f>
        <v>21000</v>
      </c>
      <c r="K765" s="31">
        <f t="shared" si="11"/>
        <v>19320</v>
      </c>
      <c r="L765" s="31">
        <f>Table2[[#This Row],[gross sales]]-Table2[[#This Row],[net sale]]</f>
        <v>1680</v>
      </c>
      <c r="M765" s="37" t="str">
        <f>TEXT(B765,"mmm")</f>
        <v>May</v>
      </c>
    </row>
    <row r="766" spans="1:13">
      <c r="A766" s="16">
        <v>1765</v>
      </c>
      <c r="B766" s="15">
        <v>45689</v>
      </c>
      <c r="C766" s="16" t="s">
        <v>39</v>
      </c>
      <c r="D766" s="16" t="s">
        <v>30</v>
      </c>
      <c r="E766" s="16" t="s">
        <v>14</v>
      </c>
      <c r="F766" s="16" t="s">
        <v>23</v>
      </c>
      <c r="G766" s="16">
        <v>10</v>
      </c>
      <c r="H766" s="16">
        <v>180</v>
      </c>
      <c r="I766" s="23">
        <v>0.05</v>
      </c>
      <c r="J766" s="28">
        <f>Table2[[#This Row],[Quantity]]*Table2[[#This Row],[Unit_Price]]</f>
        <v>1800</v>
      </c>
      <c r="K766" s="31">
        <f t="shared" si="11"/>
        <v>1710</v>
      </c>
      <c r="L766" s="31">
        <f>Table2[[#This Row],[gross sales]]-Table2[[#This Row],[net sale]]</f>
        <v>90</v>
      </c>
      <c r="M766" s="36" t="str">
        <f>TEXT(B766,"mmm")</f>
        <v>Feb</v>
      </c>
    </row>
    <row r="767" spans="1:13">
      <c r="A767" s="19">
        <v>1766</v>
      </c>
      <c r="B767" s="18">
        <v>45889</v>
      </c>
      <c r="C767" s="19" t="s">
        <v>9</v>
      </c>
      <c r="D767" s="19" t="s">
        <v>10</v>
      </c>
      <c r="E767" s="19" t="s">
        <v>17</v>
      </c>
      <c r="F767" s="19" t="s">
        <v>15</v>
      </c>
      <c r="G767" s="19">
        <v>20</v>
      </c>
      <c r="H767" s="20">
        <v>18000</v>
      </c>
      <c r="I767" s="24">
        <v>0.15</v>
      </c>
      <c r="J767" s="28">
        <f>Table2[[#This Row],[Quantity]]*Table2[[#This Row],[Unit_Price]]</f>
        <v>360000</v>
      </c>
      <c r="K767" s="31">
        <f t="shared" si="11"/>
        <v>306000</v>
      </c>
      <c r="L767" s="31">
        <f>Table2[[#This Row],[gross sales]]-Table2[[#This Row],[net sale]]</f>
        <v>54000</v>
      </c>
      <c r="M767" s="37" t="str">
        <f>TEXT(B767,"mmm")</f>
        <v>Aug</v>
      </c>
    </row>
    <row r="768" spans="1:13">
      <c r="A768" s="16">
        <v>1767</v>
      </c>
      <c r="B768" s="15">
        <v>45779</v>
      </c>
      <c r="C768" s="16" t="s">
        <v>25</v>
      </c>
      <c r="D768" s="16" t="s">
        <v>26</v>
      </c>
      <c r="E768" s="16" t="s">
        <v>14</v>
      </c>
      <c r="F768" s="16" t="s">
        <v>15</v>
      </c>
      <c r="G768" s="16">
        <v>10</v>
      </c>
      <c r="H768" s="17">
        <v>11000</v>
      </c>
      <c r="I768" s="23">
        <v>0.15</v>
      </c>
      <c r="J768" s="28">
        <f>Table2[[#This Row],[Quantity]]*Table2[[#This Row],[Unit_Price]]</f>
        <v>110000</v>
      </c>
      <c r="K768" s="31">
        <f t="shared" si="11"/>
        <v>93500</v>
      </c>
      <c r="L768" s="31">
        <f>Table2[[#This Row],[gross sales]]-Table2[[#This Row],[net sale]]</f>
        <v>16500</v>
      </c>
      <c r="M768" s="36" t="str">
        <f>TEXT(B768,"mmm")</f>
        <v>May</v>
      </c>
    </row>
    <row r="769" spans="1:13">
      <c r="A769" s="19">
        <v>1768</v>
      </c>
      <c r="B769" s="18">
        <v>45856</v>
      </c>
      <c r="C769" s="19" t="s">
        <v>31</v>
      </c>
      <c r="D769" s="19" t="s">
        <v>26</v>
      </c>
      <c r="E769" s="19" t="s">
        <v>14</v>
      </c>
      <c r="F769" s="19" t="s">
        <v>18</v>
      </c>
      <c r="G769" s="19">
        <v>11</v>
      </c>
      <c r="H769" s="20">
        <v>8500</v>
      </c>
      <c r="I769" s="24">
        <v>0.12</v>
      </c>
      <c r="J769" s="28">
        <f>Table2[[#This Row],[Quantity]]*Table2[[#This Row],[Unit_Price]]</f>
        <v>93500</v>
      </c>
      <c r="K769" s="31">
        <f t="shared" si="11"/>
        <v>82280</v>
      </c>
      <c r="L769" s="31">
        <f>Table2[[#This Row],[gross sales]]-Table2[[#This Row],[net sale]]</f>
        <v>11220</v>
      </c>
      <c r="M769" s="37" t="str">
        <f>TEXT(B769,"mmm")</f>
        <v>Jul</v>
      </c>
    </row>
    <row r="770" spans="1:13">
      <c r="A770" s="16">
        <v>1769</v>
      </c>
      <c r="B770" s="15">
        <v>45786</v>
      </c>
      <c r="C770" s="16" t="s">
        <v>19</v>
      </c>
      <c r="D770" s="16" t="s">
        <v>10</v>
      </c>
      <c r="E770" s="16" t="s">
        <v>17</v>
      </c>
      <c r="F770" s="16" t="s">
        <v>23</v>
      </c>
      <c r="G770" s="16">
        <v>20</v>
      </c>
      <c r="H770" s="16">
        <v>800</v>
      </c>
      <c r="I770" s="23">
        <v>0.1</v>
      </c>
      <c r="J770" s="28">
        <f>Table2[[#This Row],[Quantity]]*Table2[[#This Row],[Unit_Price]]</f>
        <v>16000</v>
      </c>
      <c r="K770" s="31">
        <f t="shared" ref="K770:K833" si="12">J770*(1-I770)</f>
        <v>14400</v>
      </c>
      <c r="L770" s="31">
        <f>Table2[[#This Row],[gross sales]]-Table2[[#This Row],[net sale]]</f>
        <v>1600</v>
      </c>
      <c r="M770" s="36" t="str">
        <f>TEXT(B770,"mmm")</f>
        <v>May</v>
      </c>
    </row>
    <row r="771" spans="1:13">
      <c r="A771" s="19">
        <v>1770</v>
      </c>
      <c r="B771" s="18">
        <v>45959</v>
      </c>
      <c r="C771" s="19" t="s">
        <v>25</v>
      </c>
      <c r="D771" s="19" t="s">
        <v>26</v>
      </c>
      <c r="E771" s="19" t="s">
        <v>17</v>
      </c>
      <c r="F771" s="19" t="s">
        <v>27</v>
      </c>
      <c r="G771" s="19">
        <v>20</v>
      </c>
      <c r="H771" s="20">
        <v>11000</v>
      </c>
      <c r="I771" s="24">
        <v>0.05</v>
      </c>
      <c r="J771" s="28">
        <f>Table2[[#This Row],[Quantity]]*Table2[[#This Row],[Unit_Price]]</f>
        <v>220000</v>
      </c>
      <c r="K771" s="31">
        <f t="shared" si="12"/>
        <v>209000</v>
      </c>
      <c r="L771" s="31">
        <f>Table2[[#This Row],[gross sales]]-Table2[[#This Row],[net sale]]</f>
        <v>11000</v>
      </c>
      <c r="M771" s="37" t="str">
        <f>TEXT(B771,"mmm")</f>
        <v>Oct</v>
      </c>
    </row>
    <row r="772" spans="1:13">
      <c r="A772" s="16">
        <v>1771</v>
      </c>
      <c r="B772" s="15">
        <v>45887</v>
      </c>
      <c r="C772" s="16" t="s">
        <v>13</v>
      </c>
      <c r="D772" s="16" t="s">
        <v>10</v>
      </c>
      <c r="E772" s="16" t="s">
        <v>17</v>
      </c>
      <c r="F772" s="16" t="s">
        <v>24</v>
      </c>
      <c r="G772" s="16">
        <v>3</v>
      </c>
      <c r="H772" s="17">
        <v>1200</v>
      </c>
      <c r="I772" s="23">
        <v>0.05</v>
      </c>
      <c r="J772" s="28">
        <f>Table2[[#This Row],[Quantity]]*Table2[[#This Row],[Unit_Price]]</f>
        <v>3600</v>
      </c>
      <c r="K772" s="31">
        <f t="shared" si="12"/>
        <v>3420</v>
      </c>
      <c r="L772" s="31">
        <f>Table2[[#This Row],[gross sales]]-Table2[[#This Row],[net sale]]</f>
        <v>180</v>
      </c>
      <c r="M772" s="36" t="str">
        <f>TEXT(B772,"mmm")</f>
        <v>Aug</v>
      </c>
    </row>
    <row r="773" spans="1:13">
      <c r="A773" s="19">
        <v>1772</v>
      </c>
      <c r="B773" s="18">
        <v>45851</v>
      </c>
      <c r="C773" s="19" t="s">
        <v>16</v>
      </c>
      <c r="D773" s="19" t="s">
        <v>10</v>
      </c>
      <c r="E773" s="19" t="s">
        <v>11</v>
      </c>
      <c r="F773" s="19" t="s">
        <v>32</v>
      </c>
      <c r="G773" s="19">
        <v>14</v>
      </c>
      <c r="H773" s="20">
        <v>55000</v>
      </c>
      <c r="I773" s="24">
        <v>0.08</v>
      </c>
      <c r="J773" s="28">
        <f>Table2[[#This Row],[Quantity]]*Table2[[#This Row],[Unit_Price]]</f>
        <v>770000</v>
      </c>
      <c r="K773" s="31">
        <f t="shared" si="12"/>
        <v>708400</v>
      </c>
      <c r="L773" s="31">
        <f>Table2[[#This Row],[gross sales]]-Table2[[#This Row],[net sale]]</f>
        <v>61600</v>
      </c>
      <c r="M773" s="37" t="str">
        <f>TEXT(B773,"mmm")</f>
        <v>Jul</v>
      </c>
    </row>
    <row r="774" spans="1:13">
      <c r="A774" s="16">
        <v>1773</v>
      </c>
      <c r="B774" s="15">
        <v>45740</v>
      </c>
      <c r="C774" s="16" t="s">
        <v>28</v>
      </c>
      <c r="D774" s="16" t="s">
        <v>26</v>
      </c>
      <c r="E774" s="16" t="s">
        <v>11</v>
      </c>
      <c r="F774" s="16" t="s">
        <v>20</v>
      </c>
      <c r="G774" s="16">
        <v>9</v>
      </c>
      <c r="H774" s="17">
        <v>9000</v>
      </c>
      <c r="I774" s="23">
        <v>0</v>
      </c>
      <c r="J774" s="28">
        <f>Table2[[#This Row],[Quantity]]*Table2[[#This Row],[Unit_Price]]</f>
        <v>81000</v>
      </c>
      <c r="K774" s="31">
        <f t="shared" si="12"/>
        <v>81000</v>
      </c>
      <c r="L774" s="31">
        <f>Table2[[#This Row],[gross sales]]-Table2[[#This Row],[net sale]]</f>
        <v>0</v>
      </c>
      <c r="M774" s="36" t="str">
        <f>TEXT(B774,"mmm")</f>
        <v>Mar</v>
      </c>
    </row>
    <row r="775" spans="1:13">
      <c r="A775" s="19">
        <v>1774</v>
      </c>
      <c r="B775" s="18">
        <v>46021</v>
      </c>
      <c r="C775" s="19" t="s">
        <v>37</v>
      </c>
      <c r="D775" s="19" t="s">
        <v>36</v>
      </c>
      <c r="E775" s="19" t="s">
        <v>17</v>
      </c>
      <c r="F775" s="19" t="s">
        <v>23</v>
      </c>
      <c r="G775" s="19">
        <v>5</v>
      </c>
      <c r="H775" s="20">
        <v>1800</v>
      </c>
      <c r="I775" s="24">
        <v>0</v>
      </c>
      <c r="J775" s="28">
        <f>Table2[[#This Row],[Quantity]]*Table2[[#This Row],[Unit_Price]]</f>
        <v>9000</v>
      </c>
      <c r="K775" s="31">
        <f t="shared" si="12"/>
        <v>9000</v>
      </c>
      <c r="L775" s="31">
        <f>Table2[[#This Row],[gross sales]]-Table2[[#This Row],[net sale]]</f>
        <v>0</v>
      </c>
      <c r="M775" s="37" t="str">
        <f>TEXT(B775,"mmm")</f>
        <v>Dec</v>
      </c>
    </row>
    <row r="776" spans="1:13">
      <c r="A776" s="16">
        <v>1775</v>
      </c>
      <c r="B776" s="15">
        <v>45963</v>
      </c>
      <c r="C776" s="16" t="s">
        <v>16</v>
      </c>
      <c r="D776" s="16" t="s">
        <v>10</v>
      </c>
      <c r="E776" s="16" t="s">
        <v>11</v>
      </c>
      <c r="F776" s="16" t="s">
        <v>20</v>
      </c>
      <c r="G776" s="16">
        <v>20</v>
      </c>
      <c r="H776" s="17">
        <v>55000</v>
      </c>
      <c r="I776" s="23">
        <v>0.15</v>
      </c>
      <c r="J776" s="28">
        <f>Table2[[#This Row],[Quantity]]*Table2[[#This Row],[Unit_Price]]</f>
        <v>1100000</v>
      </c>
      <c r="K776" s="31">
        <f t="shared" si="12"/>
        <v>935000</v>
      </c>
      <c r="L776" s="31">
        <f>Table2[[#This Row],[gross sales]]-Table2[[#This Row],[net sale]]</f>
        <v>165000</v>
      </c>
      <c r="M776" s="36" t="str">
        <f>TEXT(B776,"mmm")</f>
        <v>Nov</v>
      </c>
    </row>
    <row r="777" spans="1:13">
      <c r="A777" s="19">
        <v>1776</v>
      </c>
      <c r="B777" s="18">
        <v>45951</v>
      </c>
      <c r="C777" s="19" t="s">
        <v>25</v>
      </c>
      <c r="D777" s="19" t="s">
        <v>26</v>
      </c>
      <c r="E777" s="19" t="s">
        <v>11</v>
      </c>
      <c r="F777" s="19" t="s">
        <v>12</v>
      </c>
      <c r="G777" s="19">
        <v>12</v>
      </c>
      <c r="H777" s="20">
        <v>11000</v>
      </c>
      <c r="I777" s="24">
        <v>0</v>
      </c>
      <c r="J777" s="28">
        <f>Table2[[#This Row],[Quantity]]*Table2[[#This Row],[Unit_Price]]</f>
        <v>132000</v>
      </c>
      <c r="K777" s="31">
        <f t="shared" si="12"/>
        <v>132000</v>
      </c>
      <c r="L777" s="31">
        <f>Table2[[#This Row],[gross sales]]-Table2[[#This Row],[net sale]]</f>
        <v>0</v>
      </c>
      <c r="M777" s="37" t="str">
        <f>TEXT(B777,"mmm")</f>
        <v>Oct</v>
      </c>
    </row>
    <row r="778" spans="1:13">
      <c r="A778" s="16">
        <v>1777</v>
      </c>
      <c r="B778" s="15">
        <v>45752</v>
      </c>
      <c r="C778" s="16" t="s">
        <v>25</v>
      </c>
      <c r="D778" s="16" t="s">
        <v>26</v>
      </c>
      <c r="E778" s="16" t="s">
        <v>17</v>
      </c>
      <c r="F778" s="16" t="s">
        <v>15</v>
      </c>
      <c r="G778" s="16">
        <v>3</v>
      </c>
      <c r="H778" s="17">
        <v>11000</v>
      </c>
      <c r="I778" s="23">
        <v>0.12</v>
      </c>
      <c r="J778" s="28">
        <f>Table2[[#This Row],[Quantity]]*Table2[[#This Row],[Unit_Price]]</f>
        <v>33000</v>
      </c>
      <c r="K778" s="31">
        <f t="shared" si="12"/>
        <v>29040</v>
      </c>
      <c r="L778" s="31">
        <f>Table2[[#This Row],[gross sales]]-Table2[[#This Row],[net sale]]</f>
        <v>3960</v>
      </c>
      <c r="M778" s="36" t="str">
        <f>TEXT(B778,"mmm")</f>
        <v>Apr</v>
      </c>
    </row>
    <row r="779" spans="1:13">
      <c r="A779" s="19">
        <v>1778</v>
      </c>
      <c r="B779" s="18">
        <v>45936</v>
      </c>
      <c r="C779" s="19" t="s">
        <v>25</v>
      </c>
      <c r="D779" s="19" t="s">
        <v>26</v>
      </c>
      <c r="E779" s="19" t="s">
        <v>11</v>
      </c>
      <c r="F779" s="19" t="s">
        <v>12</v>
      </c>
      <c r="G779" s="19">
        <v>13</v>
      </c>
      <c r="H779" s="20">
        <v>11000</v>
      </c>
      <c r="I779" s="24">
        <v>0</v>
      </c>
      <c r="J779" s="28">
        <f>Table2[[#This Row],[Quantity]]*Table2[[#This Row],[Unit_Price]]</f>
        <v>143000</v>
      </c>
      <c r="K779" s="31">
        <f t="shared" si="12"/>
        <v>143000</v>
      </c>
      <c r="L779" s="31">
        <f>Table2[[#This Row],[gross sales]]-Table2[[#This Row],[net sale]]</f>
        <v>0</v>
      </c>
      <c r="M779" s="37" t="str">
        <f>TEXT(B779,"mmm")</f>
        <v>Oct</v>
      </c>
    </row>
    <row r="780" spans="1:13">
      <c r="A780" s="16">
        <v>1779</v>
      </c>
      <c r="B780" s="15">
        <v>45767</v>
      </c>
      <c r="C780" s="16" t="s">
        <v>29</v>
      </c>
      <c r="D780" s="16" t="s">
        <v>30</v>
      </c>
      <c r="E780" s="16" t="s">
        <v>11</v>
      </c>
      <c r="F780" s="16" t="s">
        <v>27</v>
      </c>
      <c r="G780" s="16">
        <v>11</v>
      </c>
      <c r="H780" s="16">
        <v>250</v>
      </c>
      <c r="I780" s="23">
        <v>0.08</v>
      </c>
      <c r="J780" s="28">
        <f>Table2[[#This Row],[Quantity]]*Table2[[#This Row],[Unit_Price]]</f>
        <v>2750</v>
      </c>
      <c r="K780" s="31">
        <f t="shared" si="12"/>
        <v>2530</v>
      </c>
      <c r="L780" s="31">
        <f>Table2[[#This Row],[gross sales]]-Table2[[#This Row],[net sale]]</f>
        <v>220</v>
      </c>
      <c r="M780" s="36" t="str">
        <f>TEXT(B780,"mmm")</f>
        <v>Apr</v>
      </c>
    </row>
    <row r="781" spans="1:13">
      <c r="A781" s="19">
        <v>1780</v>
      </c>
      <c r="B781" s="18">
        <v>45769</v>
      </c>
      <c r="C781" s="19" t="s">
        <v>35</v>
      </c>
      <c r="D781" s="19" t="s">
        <v>36</v>
      </c>
      <c r="E781" s="19" t="s">
        <v>22</v>
      </c>
      <c r="F781" s="19" t="s">
        <v>18</v>
      </c>
      <c r="G781" s="19">
        <v>20</v>
      </c>
      <c r="H781" s="20">
        <v>3500</v>
      </c>
      <c r="I781" s="24">
        <v>0.12</v>
      </c>
      <c r="J781" s="28">
        <f>Table2[[#This Row],[Quantity]]*Table2[[#This Row],[Unit_Price]]</f>
        <v>70000</v>
      </c>
      <c r="K781" s="31">
        <f t="shared" si="12"/>
        <v>61600</v>
      </c>
      <c r="L781" s="31">
        <f>Table2[[#This Row],[gross sales]]-Table2[[#This Row],[net sale]]</f>
        <v>8400</v>
      </c>
      <c r="M781" s="37" t="str">
        <f>TEXT(B781,"mmm")</f>
        <v>Apr</v>
      </c>
    </row>
    <row r="782" spans="1:13">
      <c r="A782" s="16">
        <v>1781</v>
      </c>
      <c r="B782" s="15">
        <v>45716</v>
      </c>
      <c r="C782" s="16" t="s">
        <v>29</v>
      </c>
      <c r="D782" s="16" t="s">
        <v>30</v>
      </c>
      <c r="E782" s="16" t="s">
        <v>17</v>
      </c>
      <c r="F782" s="16" t="s">
        <v>12</v>
      </c>
      <c r="G782" s="16">
        <v>12</v>
      </c>
      <c r="H782" s="16">
        <v>250</v>
      </c>
      <c r="I782" s="23">
        <v>0.1</v>
      </c>
      <c r="J782" s="28">
        <f>Table2[[#This Row],[Quantity]]*Table2[[#This Row],[Unit_Price]]</f>
        <v>3000</v>
      </c>
      <c r="K782" s="31">
        <f t="shared" si="12"/>
        <v>2700</v>
      </c>
      <c r="L782" s="31">
        <f>Table2[[#This Row],[gross sales]]-Table2[[#This Row],[net sale]]</f>
        <v>300</v>
      </c>
      <c r="M782" s="36" t="str">
        <f>TEXT(B782,"mmm")</f>
        <v>Feb</v>
      </c>
    </row>
    <row r="783" spans="1:13">
      <c r="A783" s="19">
        <v>1782</v>
      </c>
      <c r="B783" s="18">
        <v>45678</v>
      </c>
      <c r="C783" s="19" t="s">
        <v>29</v>
      </c>
      <c r="D783" s="19" t="s">
        <v>30</v>
      </c>
      <c r="E783" s="19" t="s">
        <v>14</v>
      </c>
      <c r="F783" s="19" t="s">
        <v>15</v>
      </c>
      <c r="G783" s="19">
        <v>11</v>
      </c>
      <c r="H783" s="19">
        <v>250</v>
      </c>
      <c r="I783" s="24">
        <v>0.1</v>
      </c>
      <c r="J783" s="28">
        <f>Table2[[#This Row],[Quantity]]*Table2[[#This Row],[Unit_Price]]</f>
        <v>2750</v>
      </c>
      <c r="K783" s="31">
        <f t="shared" si="12"/>
        <v>2475</v>
      </c>
      <c r="L783" s="31">
        <f>Table2[[#This Row],[gross sales]]-Table2[[#This Row],[net sale]]</f>
        <v>275</v>
      </c>
      <c r="M783" s="37" t="str">
        <f>TEXT(B783,"mmm")</f>
        <v>Jan</v>
      </c>
    </row>
    <row r="784" spans="1:13">
      <c r="A784" s="16">
        <v>1783</v>
      </c>
      <c r="B784" s="15">
        <v>45789</v>
      </c>
      <c r="C784" s="16" t="s">
        <v>25</v>
      </c>
      <c r="D784" s="16" t="s">
        <v>26</v>
      </c>
      <c r="E784" s="16" t="s">
        <v>11</v>
      </c>
      <c r="F784" s="16" t="s">
        <v>20</v>
      </c>
      <c r="G784" s="16">
        <v>10</v>
      </c>
      <c r="H784" s="17">
        <v>11000</v>
      </c>
      <c r="I784" s="23">
        <v>0</v>
      </c>
      <c r="J784" s="28">
        <f>Table2[[#This Row],[Quantity]]*Table2[[#This Row],[Unit_Price]]</f>
        <v>110000</v>
      </c>
      <c r="K784" s="31">
        <f t="shared" si="12"/>
        <v>110000</v>
      </c>
      <c r="L784" s="31">
        <f>Table2[[#This Row],[gross sales]]-Table2[[#This Row],[net sale]]</f>
        <v>0</v>
      </c>
      <c r="M784" s="36" t="str">
        <f>TEXT(B784,"mmm")</f>
        <v>May</v>
      </c>
    </row>
    <row r="785" spans="1:13">
      <c r="A785" s="19">
        <v>1784</v>
      </c>
      <c r="B785" s="18">
        <v>45907</v>
      </c>
      <c r="C785" s="19" t="s">
        <v>16</v>
      </c>
      <c r="D785" s="19" t="s">
        <v>10</v>
      </c>
      <c r="E785" s="19" t="s">
        <v>17</v>
      </c>
      <c r="F785" s="19" t="s">
        <v>23</v>
      </c>
      <c r="G785" s="19">
        <v>10</v>
      </c>
      <c r="H785" s="20">
        <v>55000</v>
      </c>
      <c r="I785" s="24">
        <v>0.15</v>
      </c>
      <c r="J785" s="28">
        <f>Table2[[#This Row],[Quantity]]*Table2[[#This Row],[Unit_Price]]</f>
        <v>550000</v>
      </c>
      <c r="K785" s="31">
        <f t="shared" si="12"/>
        <v>467500</v>
      </c>
      <c r="L785" s="31">
        <f>Table2[[#This Row],[gross sales]]-Table2[[#This Row],[net sale]]</f>
        <v>82500</v>
      </c>
      <c r="M785" s="37" t="str">
        <f>TEXT(B785,"mmm")</f>
        <v>Sep</v>
      </c>
    </row>
    <row r="786" spans="1:13">
      <c r="A786" s="16">
        <v>1785</v>
      </c>
      <c r="B786" s="15">
        <v>45921</v>
      </c>
      <c r="C786" s="16" t="s">
        <v>9</v>
      </c>
      <c r="D786" s="16" t="s">
        <v>10</v>
      </c>
      <c r="E786" s="16" t="s">
        <v>14</v>
      </c>
      <c r="F786" s="16" t="s">
        <v>24</v>
      </c>
      <c r="G786" s="16">
        <v>4</v>
      </c>
      <c r="H786" s="17">
        <v>18000</v>
      </c>
      <c r="I786" s="23">
        <v>0.05</v>
      </c>
      <c r="J786" s="28">
        <f>Table2[[#This Row],[Quantity]]*Table2[[#This Row],[Unit_Price]]</f>
        <v>72000</v>
      </c>
      <c r="K786" s="31">
        <f t="shared" si="12"/>
        <v>68400</v>
      </c>
      <c r="L786" s="31">
        <f>Table2[[#This Row],[gross sales]]-Table2[[#This Row],[net sale]]</f>
        <v>3600</v>
      </c>
      <c r="M786" s="36" t="str">
        <f>TEXT(B786,"mmm")</f>
        <v>Sep</v>
      </c>
    </row>
    <row r="787" spans="1:13">
      <c r="A787" s="19">
        <v>1786</v>
      </c>
      <c r="B787" s="18">
        <v>45765</v>
      </c>
      <c r="C787" s="19" t="s">
        <v>29</v>
      </c>
      <c r="D787" s="19" t="s">
        <v>30</v>
      </c>
      <c r="E787" s="19" t="s">
        <v>22</v>
      </c>
      <c r="F787" s="19" t="s">
        <v>24</v>
      </c>
      <c r="G787" s="19">
        <v>7</v>
      </c>
      <c r="H787" s="19">
        <v>250</v>
      </c>
      <c r="I787" s="24">
        <v>0.15</v>
      </c>
      <c r="J787" s="28">
        <f>Table2[[#This Row],[Quantity]]*Table2[[#This Row],[Unit_Price]]</f>
        <v>1750</v>
      </c>
      <c r="K787" s="31">
        <f t="shared" si="12"/>
        <v>1487.5</v>
      </c>
      <c r="L787" s="31">
        <f>Table2[[#This Row],[gross sales]]-Table2[[#This Row],[net sale]]</f>
        <v>262.5</v>
      </c>
      <c r="M787" s="37" t="str">
        <f>TEXT(B787,"mmm")</f>
        <v>Apr</v>
      </c>
    </row>
    <row r="788" spans="1:13">
      <c r="A788" s="16">
        <v>1787</v>
      </c>
      <c r="B788" s="15">
        <v>45763</v>
      </c>
      <c r="C788" s="16" t="s">
        <v>25</v>
      </c>
      <c r="D788" s="16" t="s">
        <v>26</v>
      </c>
      <c r="E788" s="16" t="s">
        <v>14</v>
      </c>
      <c r="F788" s="16" t="s">
        <v>32</v>
      </c>
      <c r="G788" s="16">
        <v>14</v>
      </c>
      <c r="H788" s="17">
        <v>11000</v>
      </c>
      <c r="I788" s="23">
        <v>0.15</v>
      </c>
      <c r="J788" s="28">
        <f>Table2[[#This Row],[Quantity]]*Table2[[#This Row],[Unit_Price]]</f>
        <v>154000</v>
      </c>
      <c r="K788" s="31">
        <f t="shared" si="12"/>
        <v>130900</v>
      </c>
      <c r="L788" s="31">
        <f>Table2[[#This Row],[gross sales]]-Table2[[#This Row],[net sale]]</f>
        <v>23100</v>
      </c>
      <c r="M788" s="36" t="str">
        <f>TEXT(B788,"mmm")</f>
        <v>Apr</v>
      </c>
    </row>
    <row r="789" spans="1:13">
      <c r="A789" s="19">
        <v>1788</v>
      </c>
      <c r="B789" s="18">
        <v>45670</v>
      </c>
      <c r="C789" s="19" t="s">
        <v>34</v>
      </c>
      <c r="D789" s="19" t="s">
        <v>26</v>
      </c>
      <c r="E789" s="19" t="s">
        <v>14</v>
      </c>
      <c r="F789" s="19" t="s">
        <v>24</v>
      </c>
      <c r="G789" s="19">
        <v>11</v>
      </c>
      <c r="H789" s="20">
        <v>15000</v>
      </c>
      <c r="I789" s="24">
        <v>0</v>
      </c>
      <c r="J789" s="28">
        <f>Table2[[#This Row],[Quantity]]*Table2[[#This Row],[Unit_Price]]</f>
        <v>165000</v>
      </c>
      <c r="K789" s="31">
        <f t="shared" si="12"/>
        <v>165000</v>
      </c>
      <c r="L789" s="31">
        <f>Table2[[#This Row],[gross sales]]-Table2[[#This Row],[net sale]]</f>
        <v>0</v>
      </c>
      <c r="M789" s="37" t="str">
        <f>TEXT(B789,"mmm")</f>
        <v>Jan</v>
      </c>
    </row>
    <row r="790" spans="1:13">
      <c r="A790" s="16">
        <v>1789</v>
      </c>
      <c r="B790" s="15">
        <v>45685</v>
      </c>
      <c r="C790" s="16" t="s">
        <v>13</v>
      </c>
      <c r="D790" s="16" t="s">
        <v>10</v>
      </c>
      <c r="E790" s="16" t="s">
        <v>14</v>
      </c>
      <c r="F790" s="16" t="s">
        <v>12</v>
      </c>
      <c r="G790" s="16">
        <v>9</v>
      </c>
      <c r="H790" s="17">
        <v>1200</v>
      </c>
      <c r="I790" s="23">
        <v>0.12</v>
      </c>
      <c r="J790" s="28">
        <f>Table2[[#This Row],[Quantity]]*Table2[[#This Row],[Unit_Price]]</f>
        <v>10800</v>
      </c>
      <c r="K790" s="31">
        <f t="shared" si="12"/>
        <v>9504</v>
      </c>
      <c r="L790" s="31">
        <f>Table2[[#This Row],[gross sales]]-Table2[[#This Row],[net sale]]</f>
        <v>1296</v>
      </c>
      <c r="M790" s="36" t="str">
        <f>TEXT(B790,"mmm")</f>
        <v>Jan</v>
      </c>
    </row>
    <row r="791" spans="1:13">
      <c r="A791" s="19">
        <v>1790</v>
      </c>
      <c r="B791" s="18">
        <v>45790</v>
      </c>
      <c r="C791" s="19" t="s">
        <v>31</v>
      </c>
      <c r="D791" s="19" t="s">
        <v>26</v>
      </c>
      <c r="E791" s="19" t="s">
        <v>22</v>
      </c>
      <c r="F791" s="19" t="s">
        <v>15</v>
      </c>
      <c r="G791" s="19">
        <v>13</v>
      </c>
      <c r="H791" s="20">
        <v>8500</v>
      </c>
      <c r="I791" s="24">
        <v>0.1</v>
      </c>
      <c r="J791" s="28">
        <f>Table2[[#This Row],[Quantity]]*Table2[[#This Row],[Unit_Price]]</f>
        <v>110500</v>
      </c>
      <c r="K791" s="31">
        <f t="shared" si="12"/>
        <v>99450</v>
      </c>
      <c r="L791" s="31">
        <f>Table2[[#This Row],[gross sales]]-Table2[[#This Row],[net sale]]</f>
        <v>11050</v>
      </c>
      <c r="M791" s="37" t="str">
        <f>TEXT(B791,"mmm")</f>
        <v>May</v>
      </c>
    </row>
    <row r="792" spans="1:13">
      <c r="A792" s="16">
        <v>1791</v>
      </c>
      <c r="B792" s="15">
        <v>45819</v>
      </c>
      <c r="C792" s="16" t="s">
        <v>16</v>
      </c>
      <c r="D792" s="16" t="s">
        <v>10</v>
      </c>
      <c r="E792" s="16" t="s">
        <v>14</v>
      </c>
      <c r="F792" s="16" t="s">
        <v>18</v>
      </c>
      <c r="G792" s="16">
        <v>13</v>
      </c>
      <c r="H792" s="17">
        <v>55000</v>
      </c>
      <c r="I792" s="23">
        <v>0.15</v>
      </c>
      <c r="J792" s="28">
        <f>Table2[[#This Row],[Quantity]]*Table2[[#This Row],[Unit_Price]]</f>
        <v>715000</v>
      </c>
      <c r="K792" s="31">
        <f t="shared" si="12"/>
        <v>607750</v>
      </c>
      <c r="L792" s="31">
        <f>Table2[[#This Row],[gross sales]]-Table2[[#This Row],[net sale]]</f>
        <v>107250</v>
      </c>
      <c r="M792" s="36" t="str">
        <f>TEXT(B792,"mmm")</f>
        <v>Jun</v>
      </c>
    </row>
    <row r="793" spans="1:13">
      <c r="A793" s="19">
        <v>1792</v>
      </c>
      <c r="B793" s="18">
        <v>45986</v>
      </c>
      <c r="C793" s="19" t="s">
        <v>39</v>
      </c>
      <c r="D793" s="19" t="s">
        <v>30</v>
      </c>
      <c r="E793" s="19" t="s">
        <v>14</v>
      </c>
      <c r="F793" s="19" t="s">
        <v>24</v>
      </c>
      <c r="G793" s="19">
        <v>20</v>
      </c>
      <c r="H793" s="19">
        <v>180</v>
      </c>
      <c r="I793" s="24">
        <v>0</v>
      </c>
      <c r="J793" s="28">
        <f>Table2[[#This Row],[Quantity]]*Table2[[#This Row],[Unit_Price]]</f>
        <v>3600</v>
      </c>
      <c r="K793" s="31">
        <f t="shared" si="12"/>
        <v>3600</v>
      </c>
      <c r="L793" s="31">
        <f>Table2[[#This Row],[gross sales]]-Table2[[#This Row],[net sale]]</f>
        <v>0</v>
      </c>
      <c r="M793" s="37" t="str">
        <f>TEXT(B793,"mmm")</f>
        <v>Nov</v>
      </c>
    </row>
    <row r="794" spans="1:13">
      <c r="A794" s="16">
        <v>1793</v>
      </c>
      <c r="B794" s="15">
        <v>45841</v>
      </c>
      <c r="C794" s="16" t="s">
        <v>37</v>
      </c>
      <c r="D794" s="16" t="s">
        <v>36</v>
      </c>
      <c r="E794" s="16" t="s">
        <v>11</v>
      </c>
      <c r="F794" s="16" t="s">
        <v>27</v>
      </c>
      <c r="G794" s="16">
        <v>17</v>
      </c>
      <c r="H794" s="17">
        <v>1800</v>
      </c>
      <c r="I794" s="23">
        <v>0</v>
      </c>
      <c r="J794" s="28">
        <f>Table2[[#This Row],[Quantity]]*Table2[[#This Row],[Unit_Price]]</f>
        <v>30600</v>
      </c>
      <c r="K794" s="31">
        <f t="shared" si="12"/>
        <v>30600</v>
      </c>
      <c r="L794" s="31">
        <f>Table2[[#This Row],[gross sales]]-Table2[[#This Row],[net sale]]</f>
        <v>0</v>
      </c>
      <c r="M794" s="36" t="str">
        <f>TEXT(B794,"mmm")</f>
        <v>Jul</v>
      </c>
    </row>
    <row r="795" spans="1:13">
      <c r="A795" s="19">
        <v>1794</v>
      </c>
      <c r="B795" s="18">
        <v>45968</v>
      </c>
      <c r="C795" s="19" t="s">
        <v>9</v>
      </c>
      <c r="D795" s="19" t="s">
        <v>10</v>
      </c>
      <c r="E795" s="19" t="s">
        <v>22</v>
      </c>
      <c r="F795" s="19" t="s">
        <v>15</v>
      </c>
      <c r="G795" s="19">
        <v>10</v>
      </c>
      <c r="H795" s="20">
        <v>18000</v>
      </c>
      <c r="I795" s="24">
        <v>0.1</v>
      </c>
      <c r="J795" s="28">
        <f>Table2[[#This Row],[Quantity]]*Table2[[#This Row],[Unit_Price]]</f>
        <v>180000</v>
      </c>
      <c r="K795" s="31">
        <f t="shared" si="12"/>
        <v>162000</v>
      </c>
      <c r="L795" s="31">
        <f>Table2[[#This Row],[gross sales]]-Table2[[#This Row],[net sale]]</f>
        <v>18000</v>
      </c>
      <c r="M795" s="37" t="str">
        <f>TEXT(B795,"mmm")</f>
        <v>Nov</v>
      </c>
    </row>
    <row r="796" spans="1:13">
      <c r="A796" s="16">
        <v>1795</v>
      </c>
      <c r="B796" s="15">
        <v>45996</v>
      </c>
      <c r="C796" s="16" t="s">
        <v>16</v>
      </c>
      <c r="D796" s="16" t="s">
        <v>10</v>
      </c>
      <c r="E796" s="16" t="s">
        <v>17</v>
      </c>
      <c r="F796" s="16" t="s">
        <v>32</v>
      </c>
      <c r="G796" s="16">
        <v>16</v>
      </c>
      <c r="H796" s="17">
        <v>55000</v>
      </c>
      <c r="I796" s="23">
        <v>0.05</v>
      </c>
      <c r="J796" s="28">
        <f>Table2[[#This Row],[Quantity]]*Table2[[#This Row],[Unit_Price]]</f>
        <v>880000</v>
      </c>
      <c r="K796" s="31">
        <f t="shared" si="12"/>
        <v>836000</v>
      </c>
      <c r="L796" s="31">
        <f>Table2[[#This Row],[gross sales]]-Table2[[#This Row],[net sale]]</f>
        <v>44000</v>
      </c>
      <c r="M796" s="36" t="str">
        <f>TEXT(B796,"mmm")</f>
        <v>Dec</v>
      </c>
    </row>
    <row r="797" spans="1:13">
      <c r="A797" s="19">
        <v>1796</v>
      </c>
      <c r="B797" s="18">
        <v>45858</v>
      </c>
      <c r="C797" s="19" t="s">
        <v>35</v>
      </c>
      <c r="D797" s="19" t="s">
        <v>36</v>
      </c>
      <c r="E797" s="19" t="s">
        <v>17</v>
      </c>
      <c r="F797" s="19" t="s">
        <v>27</v>
      </c>
      <c r="G797" s="19">
        <v>18</v>
      </c>
      <c r="H797" s="20">
        <v>3500</v>
      </c>
      <c r="I797" s="24">
        <v>0.08</v>
      </c>
      <c r="J797" s="28">
        <f>Table2[[#This Row],[Quantity]]*Table2[[#This Row],[Unit_Price]]</f>
        <v>63000</v>
      </c>
      <c r="K797" s="31">
        <f t="shared" si="12"/>
        <v>57960</v>
      </c>
      <c r="L797" s="31">
        <f>Table2[[#This Row],[gross sales]]-Table2[[#This Row],[net sale]]</f>
        <v>5040</v>
      </c>
      <c r="M797" s="37" t="str">
        <f>TEXT(B797,"mmm")</f>
        <v>Jul</v>
      </c>
    </row>
    <row r="798" spans="1:13">
      <c r="A798" s="16">
        <v>1797</v>
      </c>
      <c r="B798" s="15">
        <v>46004</v>
      </c>
      <c r="C798" s="16" t="s">
        <v>37</v>
      </c>
      <c r="D798" s="16" t="s">
        <v>36</v>
      </c>
      <c r="E798" s="16" t="s">
        <v>17</v>
      </c>
      <c r="F798" s="16" t="s">
        <v>24</v>
      </c>
      <c r="G798" s="16">
        <v>12</v>
      </c>
      <c r="H798" s="17">
        <v>1800</v>
      </c>
      <c r="I798" s="23">
        <v>0</v>
      </c>
      <c r="J798" s="28">
        <f>Table2[[#This Row],[Quantity]]*Table2[[#This Row],[Unit_Price]]</f>
        <v>21600</v>
      </c>
      <c r="K798" s="31">
        <f t="shared" si="12"/>
        <v>21600</v>
      </c>
      <c r="L798" s="31">
        <f>Table2[[#This Row],[gross sales]]-Table2[[#This Row],[net sale]]</f>
        <v>0</v>
      </c>
      <c r="M798" s="36" t="str">
        <f>TEXT(B798,"mmm")</f>
        <v>Dec</v>
      </c>
    </row>
    <row r="799" spans="1:13">
      <c r="A799" s="19">
        <v>1798</v>
      </c>
      <c r="B799" s="18">
        <v>45679</v>
      </c>
      <c r="C799" s="19" t="s">
        <v>16</v>
      </c>
      <c r="D799" s="19" t="s">
        <v>10</v>
      </c>
      <c r="E799" s="19" t="s">
        <v>22</v>
      </c>
      <c r="F799" s="19" t="s">
        <v>24</v>
      </c>
      <c r="G799" s="19">
        <v>19</v>
      </c>
      <c r="H799" s="20">
        <v>55000</v>
      </c>
      <c r="I799" s="24">
        <v>0.12</v>
      </c>
      <c r="J799" s="28">
        <f>Table2[[#This Row],[Quantity]]*Table2[[#This Row],[Unit_Price]]</f>
        <v>1045000</v>
      </c>
      <c r="K799" s="31">
        <f t="shared" si="12"/>
        <v>919600</v>
      </c>
      <c r="L799" s="31">
        <f>Table2[[#This Row],[gross sales]]-Table2[[#This Row],[net sale]]</f>
        <v>125400</v>
      </c>
      <c r="M799" s="37" t="str">
        <f>TEXT(B799,"mmm")</f>
        <v>Jan</v>
      </c>
    </row>
    <row r="800" spans="1:13">
      <c r="A800" s="16">
        <v>1799</v>
      </c>
      <c r="B800" s="15">
        <v>45814</v>
      </c>
      <c r="C800" s="16" t="s">
        <v>19</v>
      </c>
      <c r="D800" s="16" t="s">
        <v>10</v>
      </c>
      <c r="E800" s="16" t="s">
        <v>22</v>
      </c>
      <c r="F800" s="16" t="s">
        <v>32</v>
      </c>
      <c r="G800" s="16">
        <v>12</v>
      </c>
      <c r="H800" s="16">
        <v>800</v>
      </c>
      <c r="I800" s="23">
        <v>0.05</v>
      </c>
      <c r="J800" s="28">
        <f>Table2[[#This Row],[Quantity]]*Table2[[#This Row],[Unit_Price]]</f>
        <v>9600</v>
      </c>
      <c r="K800" s="31">
        <f t="shared" si="12"/>
        <v>9120</v>
      </c>
      <c r="L800" s="31">
        <f>Table2[[#This Row],[gross sales]]-Table2[[#This Row],[net sale]]</f>
        <v>480</v>
      </c>
      <c r="M800" s="36" t="str">
        <f>TEXT(B800,"mmm")</f>
        <v>Jun</v>
      </c>
    </row>
    <row r="801" spans="1:13">
      <c r="A801" s="19">
        <v>1800</v>
      </c>
      <c r="B801" s="18">
        <v>45740</v>
      </c>
      <c r="C801" s="19" t="s">
        <v>13</v>
      </c>
      <c r="D801" s="19" t="s">
        <v>10</v>
      </c>
      <c r="E801" s="19" t="s">
        <v>11</v>
      </c>
      <c r="F801" s="19" t="s">
        <v>12</v>
      </c>
      <c r="G801" s="19">
        <v>8</v>
      </c>
      <c r="H801" s="20">
        <v>1200</v>
      </c>
      <c r="I801" s="24">
        <v>0.12</v>
      </c>
      <c r="J801" s="28">
        <f>Table2[[#This Row],[Quantity]]*Table2[[#This Row],[Unit_Price]]</f>
        <v>9600</v>
      </c>
      <c r="K801" s="31">
        <f t="shared" si="12"/>
        <v>8448</v>
      </c>
      <c r="L801" s="31">
        <f>Table2[[#This Row],[gross sales]]-Table2[[#This Row],[net sale]]</f>
        <v>1152</v>
      </c>
      <c r="M801" s="37" t="str">
        <f>TEXT(B801,"mmm")</f>
        <v>Mar</v>
      </c>
    </row>
    <row r="802" spans="1:13">
      <c r="A802" s="16">
        <v>1801</v>
      </c>
      <c r="B802" s="15">
        <v>45716</v>
      </c>
      <c r="C802" s="16" t="s">
        <v>13</v>
      </c>
      <c r="D802" s="16" t="s">
        <v>10</v>
      </c>
      <c r="E802" s="16" t="s">
        <v>22</v>
      </c>
      <c r="F802" s="16" t="s">
        <v>24</v>
      </c>
      <c r="G802" s="16">
        <v>19</v>
      </c>
      <c r="H802" s="17">
        <v>1200</v>
      </c>
      <c r="I802" s="23">
        <v>0</v>
      </c>
      <c r="J802" s="28">
        <f>Table2[[#This Row],[Quantity]]*Table2[[#This Row],[Unit_Price]]</f>
        <v>22800</v>
      </c>
      <c r="K802" s="31">
        <f t="shared" si="12"/>
        <v>22800</v>
      </c>
      <c r="L802" s="31">
        <f>Table2[[#This Row],[gross sales]]-Table2[[#This Row],[net sale]]</f>
        <v>0</v>
      </c>
      <c r="M802" s="36" t="str">
        <f>TEXT(B802,"mmm")</f>
        <v>Feb</v>
      </c>
    </row>
    <row r="803" spans="1:13">
      <c r="A803" s="19">
        <v>1802</v>
      </c>
      <c r="B803" s="18">
        <v>45806</v>
      </c>
      <c r="C803" s="19" t="s">
        <v>29</v>
      </c>
      <c r="D803" s="19" t="s">
        <v>30</v>
      </c>
      <c r="E803" s="19" t="s">
        <v>14</v>
      </c>
      <c r="F803" s="19" t="s">
        <v>12</v>
      </c>
      <c r="G803" s="19">
        <v>3</v>
      </c>
      <c r="H803" s="19">
        <v>250</v>
      </c>
      <c r="I803" s="24">
        <v>0.08</v>
      </c>
      <c r="J803" s="28">
        <f>Table2[[#This Row],[Quantity]]*Table2[[#This Row],[Unit_Price]]</f>
        <v>750</v>
      </c>
      <c r="K803" s="31">
        <f t="shared" si="12"/>
        <v>690</v>
      </c>
      <c r="L803" s="31">
        <f>Table2[[#This Row],[gross sales]]-Table2[[#This Row],[net sale]]</f>
        <v>60</v>
      </c>
      <c r="M803" s="37" t="str">
        <f>TEXT(B803,"mmm")</f>
        <v>May</v>
      </c>
    </row>
    <row r="804" spans="1:13">
      <c r="A804" s="16">
        <v>1803</v>
      </c>
      <c r="B804" s="15">
        <v>45955</v>
      </c>
      <c r="C804" s="16" t="s">
        <v>34</v>
      </c>
      <c r="D804" s="16" t="s">
        <v>26</v>
      </c>
      <c r="E804" s="16" t="s">
        <v>17</v>
      </c>
      <c r="F804" s="16" t="s">
        <v>12</v>
      </c>
      <c r="G804" s="16">
        <v>11</v>
      </c>
      <c r="H804" s="17">
        <v>15000</v>
      </c>
      <c r="I804" s="23">
        <v>0.08</v>
      </c>
      <c r="J804" s="28">
        <f>Table2[[#This Row],[Quantity]]*Table2[[#This Row],[Unit_Price]]</f>
        <v>165000</v>
      </c>
      <c r="K804" s="31">
        <f t="shared" si="12"/>
        <v>151800</v>
      </c>
      <c r="L804" s="31">
        <f>Table2[[#This Row],[gross sales]]-Table2[[#This Row],[net sale]]</f>
        <v>13200</v>
      </c>
      <c r="M804" s="36" t="str">
        <f>TEXT(B804,"mmm")</f>
        <v>Oct</v>
      </c>
    </row>
    <row r="805" spans="1:13">
      <c r="A805" s="19">
        <v>1804</v>
      </c>
      <c r="B805" s="18">
        <v>45709</v>
      </c>
      <c r="C805" s="19" t="s">
        <v>21</v>
      </c>
      <c r="D805" s="19" t="s">
        <v>10</v>
      </c>
      <c r="E805" s="19" t="s">
        <v>17</v>
      </c>
      <c r="F805" s="19" t="s">
        <v>23</v>
      </c>
      <c r="G805" s="19">
        <v>20</v>
      </c>
      <c r="H805" s="20">
        <v>14000</v>
      </c>
      <c r="I805" s="24">
        <v>0</v>
      </c>
      <c r="J805" s="28">
        <f>Table2[[#This Row],[Quantity]]*Table2[[#This Row],[Unit_Price]]</f>
        <v>280000</v>
      </c>
      <c r="K805" s="31">
        <f t="shared" si="12"/>
        <v>280000</v>
      </c>
      <c r="L805" s="31">
        <f>Table2[[#This Row],[gross sales]]-Table2[[#This Row],[net sale]]</f>
        <v>0</v>
      </c>
      <c r="M805" s="37" t="str">
        <f>TEXT(B805,"mmm")</f>
        <v>Feb</v>
      </c>
    </row>
    <row r="806" spans="1:13">
      <c r="A806" s="16">
        <v>1805</v>
      </c>
      <c r="B806" s="15">
        <v>45906</v>
      </c>
      <c r="C806" s="16" t="s">
        <v>34</v>
      </c>
      <c r="D806" s="16" t="s">
        <v>26</v>
      </c>
      <c r="E806" s="16" t="s">
        <v>11</v>
      </c>
      <c r="F806" s="16" t="s">
        <v>32</v>
      </c>
      <c r="G806" s="16">
        <v>11</v>
      </c>
      <c r="H806" s="17">
        <v>15000</v>
      </c>
      <c r="I806" s="23">
        <v>0.12</v>
      </c>
      <c r="J806" s="28">
        <f>Table2[[#This Row],[Quantity]]*Table2[[#This Row],[Unit_Price]]</f>
        <v>165000</v>
      </c>
      <c r="K806" s="31">
        <f t="shared" si="12"/>
        <v>145200</v>
      </c>
      <c r="L806" s="31">
        <f>Table2[[#This Row],[gross sales]]-Table2[[#This Row],[net sale]]</f>
        <v>19800</v>
      </c>
      <c r="M806" s="36" t="str">
        <f>TEXT(B806,"mmm")</f>
        <v>Sep</v>
      </c>
    </row>
    <row r="807" spans="1:13">
      <c r="A807" s="19">
        <v>1806</v>
      </c>
      <c r="B807" s="18">
        <v>45947</v>
      </c>
      <c r="C807" s="19" t="s">
        <v>28</v>
      </c>
      <c r="D807" s="19" t="s">
        <v>26</v>
      </c>
      <c r="E807" s="19" t="s">
        <v>22</v>
      </c>
      <c r="F807" s="19" t="s">
        <v>32</v>
      </c>
      <c r="G807" s="19">
        <v>12</v>
      </c>
      <c r="H807" s="20">
        <v>9000</v>
      </c>
      <c r="I807" s="24">
        <v>0.08</v>
      </c>
      <c r="J807" s="28">
        <f>Table2[[#This Row],[Quantity]]*Table2[[#This Row],[Unit_Price]]</f>
        <v>108000</v>
      </c>
      <c r="K807" s="31">
        <f t="shared" si="12"/>
        <v>99360</v>
      </c>
      <c r="L807" s="31">
        <f>Table2[[#This Row],[gross sales]]-Table2[[#This Row],[net sale]]</f>
        <v>8640</v>
      </c>
      <c r="M807" s="37" t="str">
        <f>TEXT(B807,"mmm")</f>
        <v>Oct</v>
      </c>
    </row>
    <row r="808" spans="1:13">
      <c r="A808" s="16">
        <v>1807</v>
      </c>
      <c r="B808" s="15">
        <v>45660</v>
      </c>
      <c r="C808" s="16" t="s">
        <v>33</v>
      </c>
      <c r="D808" s="16" t="s">
        <v>10</v>
      </c>
      <c r="E808" s="16" t="s">
        <v>22</v>
      </c>
      <c r="F808" s="16" t="s">
        <v>27</v>
      </c>
      <c r="G808" s="16">
        <v>8</v>
      </c>
      <c r="H808" s="17">
        <v>2500</v>
      </c>
      <c r="I808" s="23">
        <v>0.05</v>
      </c>
      <c r="J808" s="28">
        <f>Table2[[#This Row],[Quantity]]*Table2[[#This Row],[Unit_Price]]</f>
        <v>20000</v>
      </c>
      <c r="K808" s="31">
        <f t="shared" si="12"/>
        <v>19000</v>
      </c>
      <c r="L808" s="31">
        <f>Table2[[#This Row],[gross sales]]-Table2[[#This Row],[net sale]]</f>
        <v>1000</v>
      </c>
      <c r="M808" s="36" t="str">
        <f>TEXT(B808,"mmm")</f>
        <v>Jan</v>
      </c>
    </row>
    <row r="809" spans="1:13">
      <c r="A809" s="19">
        <v>1808</v>
      </c>
      <c r="B809" s="18">
        <v>45842</v>
      </c>
      <c r="C809" s="19" t="s">
        <v>13</v>
      </c>
      <c r="D809" s="19" t="s">
        <v>10</v>
      </c>
      <c r="E809" s="19" t="s">
        <v>22</v>
      </c>
      <c r="F809" s="19" t="s">
        <v>20</v>
      </c>
      <c r="G809" s="19">
        <v>11</v>
      </c>
      <c r="H809" s="20">
        <v>1200</v>
      </c>
      <c r="I809" s="24">
        <v>0.1</v>
      </c>
      <c r="J809" s="28">
        <f>Table2[[#This Row],[Quantity]]*Table2[[#This Row],[Unit_Price]]</f>
        <v>13200</v>
      </c>
      <c r="K809" s="31">
        <f t="shared" si="12"/>
        <v>11880</v>
      </c>
      <c r="L809" s="31">
        <f>Table2[[#This Row],[gross sales]]-Table2[[#This Row],[net sale]]</f>
        <v>1320</v>
      </c>
      <c r="M809" s="37" t="str">
        <f>TEXT(B809,"mmm")</f>
        <v>Jul</v>
      </c>
    </row>
    <row r="810" spans="1:13">
      <c r="A810" s="16">
        <v>1809</v>
      </c>
      <c r="B810" s="15">
        <v>45841</v>
      </c>
      <c r="C810" s="16" t="s">
        <v>35</v>
      </c>
      <c r="D810" s="16" t="s">
        <v>36</v>
      </c>
      <c r="E810" s="16" t="s">
        <v>14</v>
      </c>
      <c r="F810" s="16" t="s">
        <v>32</v>
      </c>
      <c r="G810" s="16">
        <v>10</v>
      </c>
      <c r="H810" s="17">
        <v>3500</v>
      </c>
      <c r="I810" s="23">
        <v>0.1</v>
      </c>
      <c r="J810" s="28">
        <f>Table2[[#This Row],[Quantity]]*Table2[[#This Row],[Unit_Price]]</f>
        <v>35000</v>
      </c>
      <c r="K810" s="31">
        <f t="shared" si="12"/>
        <v>31500</v>
      </c>
      <c r="L810" s="31">
        <f>Table2[[#This Row],[gross sales]]-Table2[[#This Row],[net sale]]</f>
        <v>3500</v>
      </c>
      <c r="M810" s="36" t="str">
        <f>TEXT(B810,"mmm")</f>
        <v>Jul</v>
      </c>
    </row>
    <row r="811" spans="1:13">
      <c r="A811" s="19">
        <v>1810</v>
      </c>
      <c r="B811" s="18">
        <v>45988</v>
      </c>
      <c r="C811" s="19" t="s">
        <v>28</v>
      </c>
      <c r="D811" s="19" t="s">
        <v>26</v>
      </c>
      <c r="E811" s="19" t="s">
        <v>17</v>
      </c>
      <c r="F811" s="19" t="s">
        <v>12</v>
      </c>
      <c r="G811" s="19">
        <v>3</v>
      </c>
      <c r="H811" s="20">
        <v>9000</v>
      </c>
      <c r="I811" s="24">
        <v>0.08</v>
      </c>
      <c r="J811" s="28">
        <f>Table2[[#This Row],[Quantity]]*Table2[[#This Row],[Unit_Price]]</f>
        <v>27000</v>
      </c>
      <c r="K811" s="31">
        <f t="shared" si="12"/>
        <v>24840</v>
      </c>
      <c r="L811" s="31">
        <f>Table2[[#This Row],[gross sales]]-Table2[[#This Row],[net sale]]</f>
        <v>2160</v>
      </c>
      <c r="M811" s="37" t="str">
        <f>TEXT(B811,"mmm")</f>
        <v>Nov</v>
      </c>
    </row>
    <row r="812" spans="1:13">
      <c r="A812" s="16">
        <v>1811</v>
      </c>
      <c r="B812" s="15">
        <v>45792</v>
      </c>
      <c r="C812" s="16" t="s">
        <v>39</v>
      </c>
      <c r="D812" s="16" t="s">
        <v>30</v>
      </c>
      <c r="E812" s="16" t="s">
        <v>14</v>
      </c>
      <c r="F812" s="16" t="s">
        <v>18</v>
      </c>
      <c r="G812" s="16">
        <v>3</v>
      </c>
      <c r="H812" s="16">
        <v>180</v>
      </c>
      <c r="I812" s="23">
        <v>0.15</v>
      </c>
      <c r="J812" s="28">
        <f>Table2[[#This Row],[Quantity]]*Table2[[#This Row],[Unit_Price]]</f>
        <v>540</v>
      </c>
      <c r="K812" s="31">
        <f t="shared" si="12"/>
        <v>459</v>
      </c>
      <c r="L812" s="31">
        <f>Table2[[#This Row],[gross sales]]-Table2[[#This Row],[net sale]]</f>
        <v>81</v>
      </c>
      <c r="M812" s="36" t="str">
        <f>TEXT(B812,"mmm")</f>
        <v>May</v>
      </c>
    </row>
    <row r="813" spans="1:13">
      <c r="A813" s="19">
        <v>1812</v>
      </c>
      <c r="B813" s="18">
        <v>45917</v>
      </c>
      <c r="C813" s="19" t="s">
        <v>29</v>
      </c>
      <c r="D813" s="19" t="s">
        <v>30</v>
      </c>
      <c r="E813" s="19" t="s">
        <v>22</v>
      </c>
      <c r="F813" s="19" t="s">
        <v>12</v>
      </c>
      <c r="G813" s="19">
        <v>1</v>
      </c>
      <c r="H813" s="19">
        <v>250</v>
      </c>
      <c r="I813" s="24">
        <v>0.12</v>
      </c>
      <c r="J813" s="28">
        <f>Table2[[#This Row],[Quantity]]*Table2[[#This Row],[Unit_Price]]</f>
        <v>250</v>
      </c>
      <c r="K813" s="31">
        <f t="shared" si="12"/>
        <v>220</v>
      </c>
      <c r="L813" s="31">
        <f>Table2[[#This Row],[gross sales]]-Table2[[#This Row],[net sale]]</f>
        <v>30</v>
      </c>
      <c r="M813" s="37" t="str">
        <f>TEXT(B813,"mmm")</f>
        <v>Sep</v>
      </c>
    </row>
    <row r="814" spans="1:13">
      <c r="A814" s="16">
        <v>1813</v>
      </c>
      <c r="B814" s="15">
        <v>45676</v>
      </c>
      <c r="C814" s="16" t="s">
        <v>25</v>
      </c>
      <c r="D814" s="16" t="s">
        <v>26</v>
      </c>
      <c r="E814" s="16" t="s">
        <v>22</v>
      </c>
      <c r="F814" s="16" t="s">
        <v>32</v>
      </c>
      <c r="G814" s="16">
        <v>9</v>
      </c>
      <c r="H814" s="17">
        <v>11000</v>
      </c>
      <c r="I814" s="23">
        <v>0.12</v>
      </c>
      <c r="J814" s="28">
        <f>Table2[[#This Row],[Quantity]]*Table2[[#This Row],[Unit_Price]]</f>
        <v>99000</v>
      </c>
      <c r="K814" s="31">
        <f t="shared" si="12"/>
        <v>87120</v>
      </c>
      <c r="L814" s="31">
        <f>Table2[[#This Row],[gross sales]]-Table2[[#This Row],[net sale]]</f>
        <v>11880</v>
      </c>
      <c r="M814" s="36" t="str">
        <f>TEXT(B814,"mmm")</f>
        <v>Jan</v>
      </c>
    </row>
    <row r="815" spans="1:13">
      <c r="A815" s="19">
        <v>1814</v>
      </c>
      <c r="B815" s="18">
        <v>45845</v>
      </c>
      <c r="C815" s="19" t="s">
        <v>31</v>
      </c>
      <c r="D815" s="19" t="s">
        <v>26</v>
      </c>
      <c r="E815" s="19" t="s">
        <v>11</v>
      </c>
      <c r="F815" s="19" t="s">
        <v>32</v>
      </c>
      <c r="G815" s="19">
        <v>8</v>
      </c>
      <c r="H815" s="20">
        <v>8500</v>
      </c>
      <c r="I815" s="24">
        <v>0.12</v>
      </c>
      <c r="J815" s="28">
        <f>Table2[[#This Row],[Quantity]]*Table2[[#This Row],[Unit_Price]]</f>
        <v>68000</v>
      </c>
      <c r="K815" s="31">
        <f t="shared" si="12"/>
        <v>59840</v>
      </c>
      <c r="L815" s="31">
        <f>Table2[[#This Row],[gross sales]]-Table2[[#This Row],[net sale]]</f>
        <v>8160</v>
      </c>
      <c r="M815" s="37" t="str">
        <f>TEXT(B815,"mmm")</f>
        <v>Jul</v>
      </c>
    </row>
    <row r="816" spans="1:13">
      <c r="A816" s="16">
        <v>1815</v>
      </c>
      <c r="B816" s="15">
        <v>45895</v>
      </c>
      <c r="C816" s="16" t="s">
        <v>25</v>
      </c>
      <c r="D816" s="16" t="s">
        <v>26</v>
      </c>
      <c r="E816" s="16" t="s">
        <v>22</v>
      </c>
      <c r="F816" s="16" t="s">
        <v>23</v>
      </c>
      <c r="G816" s="16">
        <v>17</v>
      </c>
      <c r="H816" s="17">
        <v>11000</v>
      </c>
      <c r="I816" s="23">
        <v>0</v>
      </c>
      <c r="J816" s="28">
        <f>Table2[[#This Row],[Quantity]]*Table2[[#This Row],[Unit_Price]]</f>
        <v>187000</v>
      </c>
      <c r="K816" s="31">
        <f t="shared" si="12"/>
        <v>187000</v>
      </c>
      <c r="L816" s="31">
        <f>Table2[[#This Row],[gross sales]]-Table2[[#This Row],[net sale]]</f>
        <v>0</v>
      </c>
      <c r="M816" s="36" t="str">
        <f>TEXT(B816,"mmm")</f>
        <v>Aug</v>
      </c>
    </row>
    <row r="817" spans="1:13">
      <c r="A817" s="19">
        <v>1816</v>
      </c>
      <c r="B817" s="18">
        <v>45915</v>
      </c>
      <c r="C817" s="19" t="s">
        <v>16</v>
      </c>
      <c r="D817" s="19" t="s">
        <v>10</v>
      </c>
      <c r="E817" s="19" t="s">
        <v>17</v>
      </c>
      <c r="F817" s="19" t="s">
        <v>32</v>
      </c>
      <c r="G817" s="19">
        <v>8</v>
      </c>
      <c r="H817" s="20">
        <v>55000</v>
      </c>
      <c r="I817" s="24">
        <v>0.12</v>
      </c>
      <c r="J817" s="28">
        <f>Table2[[#This Row],[Quantity]]*Table2[[#This Row],[Unit_Price]]</f>
        <v>440000</v>
      </c>
      <c r="K817" s="31">
        <f t="shared" si="12"/>
        <v>387200</v>
      </c>
      <c r="L817" s="31">
        <f>Table2[[#This Row],[gross sales]]-Table2[[#This Row],[net sale]]</f>
        <v>52800</v>
      </c>
      <c r="M817" s="37" t="str">
        <f>TEXT(B817,"mmm")</f>
        <v>Sep</v>
      </c>
    </row>
    <row r="818" spans="1:13">
      <c r="A818" s="16">
        <v>1817</v>
      </c>
      <c r="B818" s="15">
        <v>45886</v>
      </c>
      <c r="C818" s="16" t="s">
        <v>13</v>
      </c>
      <c r="D818" s="16" t="s">
        <v>10</v>
      </c>
      <c r="E818" s="16" t="s">
        <v>17</v>
      </c>
      <c r="F818" s="16" t="s">
        <v>20</v>
      </c>
      <c r="G818" s="16">
        <v>6</v>
      </c>
      <c r="H818" s="17">
        <v>1200</v>
      </c>
      <c r="I818" s="23">
        <v>0.12</v>
      </c>
      <c r="J818" s="28">
        <f>Table2[[#This Row],[Quantity]]*Table2[[#This Row],[Unit_Price]]</f>
        <v>7200</v>
      </c>
      <c r="K818" s="31">
        <f t="shared" si="12"/>
        <v>6336</v>
      </c>
      <c r="L818" s="31">
        <f>Table2[[#This Row],[gross sales]]-Table2[[#This Row],[net sale]]</f>
        <v>864</v>
      </c>
      <c r="M818" s="36" t="str">
        <f>TEXT(B818,"mmm")</f>
        <v>Aug</v>
      </c>
    </row>
    <row r="819" spans="1:13">
      <c r="A819" s="19">
        <v>1818</v>
      </c>
      <c r="B819" s="18">
        <v>45841</v>
      </c>
      <c r="C819" s="19" t="s">
        <v>16</v>
      </c>
      <c r="D819" s="19" t="s">
        <v>10</v>
      </c>
      <c r="E819" s="19" t="s">
        <v>17</v>
      </c>
      <c r="F819" s="19" t="s">
        <v>24</v>
      </c>
      <c r="G819" s="19">
        <v>8</v>
      </c>
      <c r="H819" s="20">
        <v>55000</v>
      </c>
      <c r="I819" s="24">
        <v>0.1</v>
      </c>
      <c r="J819" s="28">
        <f>Table2[[#This Row],[Quantity]]*Table2[[#This Row],[Unit_Price]]</f>
        <v>440000</v>
      </c>
      <c r="K819" s="31">
        <f t="shared" si="12"/>
        <v>396000</v>
      </c>
      <c r="L819" s="31">
        <f>Table2[[#This Row],[gross sales]]-Table2[[#This Row],[net sale]]</f>
        <v>44000</v>
      </c>
      <c r="M819" s="37" t="str">
        <f>TEXT(B819,"mmm")</f>
        <v>Jul</v>
      </c>
    </row>
    <row r="820" spans="1:13">
      <c r="A820" s="16">
        <v>1819</v>
      </c>
      <c r="B820" s="15">
        <v>45793</v>
      </c>
      <c r="C820" s="16" t="s">
        <v>33</v>
      </c>
      <c r="D820" s="16" t="s">
        <v>10</v>
      </c>
      <c r="E820" s="16" t="s">
        <v>17</v>
      </c>
      <c r="F820" s="16" t="s">
        <v>23</v>
      </c>
      <c r="G820" s="16">
        <v>8</v>
      </c>
      <c r="H820" s="17">
        <v>2500</v>
      </c>
      <c r="I820" s="23">
        <v>0</v>
      </c>
      <c r="J820" s="28">
        <f>Table2[[#This Row],[Quantity]]*Table2[[#This Row],[Unit_Price]]</f>
        <v>20000</v>
      </c>
      <c r="K820" s="31">
        <f t="shared" si="12"/>
        <v>20000</v>
      </c>
      <c r="L820" s="31">
        <f>Table2[[#This Row],[gross sales]]-Table2[[#This Row],[net sale]]</f>
        <v>0</v>
      </c>
      <c r="M820" s="36" t="str">
        <f>TEXT(B820,"mmm")</f>
        <v>May</v>
      </c>
    </row>
    <row r="821" spans="1:13">
      <c r="A821" s="19">
        <v>1820</v>
      </c>
      <c r="B821" s="18">
        <v>45856</v>
      </c>
      <c r="C821" s="19" t="s">
        <v>34</v>
      </c>
      <c r="D821" s="19" t="s">
        <v>26</v>
      </c>
      <c r="E821" s="19" t="s">
        <v>14</v>
      </c>
      <c r="F821" s="19" t="s">
        <v>23</v>
      </c>
      <c r="G821" s="19">
        <v>15</v>
      </c>
      <c r="H821" s="20">
        <v>15000</v>
      </c>
      <c r="I821" s="24">
        <v>0</v>
      </c>
      <c r="J821" s="28">
        <f>Table2[[#This Row],[Quantity]]*Table2[[#This Row],[Unit_Price]]</f>
        <v>225000</v>
      </c>
      <c r="K821" s="31">
        <f t="shared" si="12"/>
        <v>225000</v>
      </c>
      <c r="L821" s="31">
        <f>Table2[[#This Row],[gross sales]]-Table2[[#This Row],[net sale]]</f>
        <v>0</v>
      </c>
      <c r="M821" s="37" t="str">
        <f>TEXT(B821,"mmm")</f>
        <v>Jul</v>
      </c>
    </row>
    <row r="822" spans="1:13">
      <c r="A822" s="16">
        <v>1821</v>
      </c>
      <c r="B822" s="15">
        <v>45710</v>
      </c>
      <c r="C822" s="16" t="s">
        <v>39</v>
      </c>
      <c r="D822" s="16" t="s">
        <v>30</v>
      </c>
      <c r="E822" s="16" t="s">
        <v>11</v>
      </c>
      <c r="F822" s="16" t="s">
        <v>27</v>
      </c>
      <c r="G822" s="16">
        <v>17</v>
      </c>
      <c r="H822" s="16">
        <v>180</v>
      </c>
      <c r="I822" s="23">
        <v>0.15</v>
      </c>
      <c r="J822" s="28">
        <f>Table2[[#This Row],[Quantity]]*Table2[[#This Row],[Unit_Price]]</f>
        <v>3060</v>
      </c>
      <c r="K822" s="31">
        <f t="shared" si="12"/>
        <v>2601</v>
      </c>
      <c r="L822" s="31">
        <f>Table2[[#This Row],[gross sales]]-Table2[[#This Row],[net sale]]</f>
        <v>459</v>
      </c>
      <c r="M822" s="36" t="str">
        <f>TEXT(B822,"mmm")</f>
        <v>Feb</v>
      </c>
    </row>
    <row r="823" spans="1:13">
      <c r="A823" s="19">
        <v>1822</v>
      </c>
      <c r="B823" s="18">
        <v>45954</v>
      </c>
      <c r="C823" s="19" t="s">
        <v>25</v>
      </c>
      <c r="D823" s="19" t="s">
        <v>26</v>
      </c>
      <c r="E823" s="19" t="s">
        <v>22</v>
      </c>
      <c r="F823" s="19" t="s">
        <v>15</v>
      </c>
      <c r="G823" s="19">
        <v>19</v>
      </c>
      <c r="H823" s="20">
        <v>11000</v>
      </c>
      <c r="I823" s="24">
        <v>0.05</v>
      </c>
      <c r="J823" s="28">
        <f>Table2[[#This Row],[Quantity]]*Table2[[#This Row],[Unit_Price]]</f>
        <v>209000</v>
      </c>
      <c r="K823" s="31">
        <f t="shared" si="12"/>
        <v>198550</v>
      </c>
      <c r="L823" s="31">
        <f>Table2[[#This Row],[gross sales]]-Table2[[#This Row],[net sale]]</f>
        <v>10450</v>
      </c>
      <c r="M823" s="37" t="str">
        <f>TEXT(B823,"mmm")</f>
        <v>Oct</v>
      </c>
    </row>
    <row r="824" spans="1:13">
      <c r="A824" s="16">
        <v>1823</v>
      </c>
      <c r="B824" s="15">
        <v>45845</v>
      </c>
      <c r="C824" s="16" t="s">
        <v>28</v>
      </c>
      <c r="D824" s="16" t="s">
        <v>26</v>
      </c>
      <c r="E824" s="16" t="s">
        <v>11</v>
      </c>
      <c r="F824" s="16" t="s">
        <v>15</v>
      </c>
      <c r="G824" s="16">
        <v>3</v>
      </c>
      <c r="H824" s="17">
        <v>9000</v>
      </c>
      <c r="I824" s="23">
        <v>0.12</v>
      </c>
      <c r="J824" s="28">
        <f>Table2[[#This Row],[Quantity]]*Table2[[#This Row],[Unit_Price]]</f>
        <v>27000</v>
      </c>
      <c r="K824" s="31">
        <f t="shared" si="12"/>
        <v>23760</v>
      </c>
      <c r="L824" s="31">
        <f>Table2[[#This Row],[gross sales]]-Table2[[#This Row],[net sale]]</f>
        <v>3240</v>
      </c>
      <c r="M824" s="36" t="str">
        <f>TEXT(B824,"mmm")</f>
        <v>Jul</v>
      </c>
    </row>
    <row r="825" spans="1:13">
      <c r="A825" s="19">
        <v>1824</v>
      </c>
      <c r="B825" s="18">
        <v>45772</v>
      </c>
      <c r="C825" s="19" t="s">
        <v>25</v>
      </c>
      <c r="D825" s="19" t="s">
        <v>26</v>
      </c>
      <c r="E825" s="19" t="s">
        <v>11</v>
      </c>
      <c r="F825" s="19" t="s">
        <v>20</v>
      </c>
      <c r="G825" s="19">
        <v>13</v>
      </c>
      <c r="H825" s="20">
        <v>11000</v>
      </c>
      <c r="I825" s="24">
        <v>0.08</v>
      </c>
      <c r="J825" s="28">
        <f>Table2[[#This Row],[Quantity]]*Table2[[#This Row],[Unit_Price]]</f>
        <v>143000</v>
      </c>
      <c r="K825" s="31">
        <f t="shared" si="12"/>
        <v>131560</v>
      </c>
      <c r="L825" s="31">
        <f>Table2[[#This Row],[gross sales]]-Table2[[#This Row],[net sale]]</f>
        <v>11440</v>
      </c>
      <c r="M825" s="37" t="str">
        <f>TEXT(B825,"mmm")</f>
        <v>Apr</v>
      </c>
    </row>
    <row r="826" spans="1:13">
      <c r="A826" s="16">
        <v>1825</v>
      </c>
      <c r="B826" s="15">
        <v>45904</v>
      </c>
      <c r="C826" s="16" t="s">
        <v>37</v>
      </c>
      <c r="D826" s="16" t="s">
        <v>10</v>
      </c>
      <c r="E826" s="16" t="s">
        <v>17</v>
      </c>
      <c r="F826" s="16" t="s">
        <v>20</v>
      </c>
      <c r="G826" s="16">
        <v>20</v>
      </c>
      <c r="H826" s="17">
        <v>1800</v>
      </c>
      <c r="I826" s="23">
        <v>0</v>
      </c>
      <c r="J826" s="28">
        <f>Table2[[#This Row],[Quantity]]*Table2[[#This Row],[Unit_Price]]</f>
        <v>36000</v>
      </c>
      <c r="K826" s="31">
        <f t="shared" si="12"/>
        <v>36000</v>
      </c>
      <c r="L826" s="31">
        <f>Table2[[#This Row],[gross sales]]-Table2[[#This Row],[net sale]]</f>
        <v>0</v>
      </c>
      <c r="M826" s="36" t="str">
        <f>TEXT(B826,"mmm")</f>
        <v>Sep</v>
      </c>
    </row>
    <row r="827" spans="1:13">
      <c r="A827" s="19">
        <v>1826</v>
      </c>
      <c r="B827" s="18">
        <v>45742</v>
      </c>
      <c r="C827" s="19" t="s">
        <v>19</v>
      </c>
      <c r="D827" s="19" t="s">
        <v>10</v>
      </c>
      <c r="E827" s="19" t="s">
        <v>11</v>
      </c>
      <c r="F827" s="19" t="s">
        <v>12</v>
      </c>
      <c r="G827" s="19">
        <v>3</v>
      </c>
      <c r="H827" s="19">
        <v>800</v>
      </c>
      <c r="I827" s="24">
        <v>0.12</v>
      </c>
      <c r="J827" s="28">
        <f>Table2[[#This Row],[Quantity]]*Table2[[#This Row],[Unit_Price]]</f>
        <v>2400</v>
      </c>
      <c r="K827" s="31">
        <f t="shared" si="12"/>
        <v>2112</v>
      </c>
      <c r="L827" s="31">
        <f>Table2[[#This Row],[gross sales]]-Table2[[#This Row],[net sale]]</f>
        <v>288</v>
      </c>
      <c r="M827" s="37" t="str">
        <f>TEXT(B827,"mmm")</f>
        <v>Mar</v>
      </c>
    </row>
    <row r="828" spans="1:13">
      <c r="A828" s="16">
        <v>1827</v>
      </c>
      <c r="B828" s="15">
        <v>45734</v>
      </c>
      <c r="C828" s="16" t="s">
        <v>13</v>
      </c>
      <c r="D828" s="16" t="s">
        <v>10</v>
      </c>
      <c r="E828" s="16" t="s">
        <v>14</v>
      </c>
      <c r="F828" s="16" t="s">
        <v>12</v>
      </c>
      <c r="G828" s="16">
        <v>6</v>
      </c>
      <c r="H828" s="17">
        <v>1200</v>
      </c>
      <c r="I828" s="23">
        <v>0.08</v>
      </c>
      <c r="J828" s="28">
        <f>Table2[[#This Row],[Quantity]]*Table2[[#This Row],[Unit_Price]]</f>
        <v>7200</v>
      </c>
      <c r="K828" s="31">
        <f t="shared" si="12"/>
        <v>6624</v>
      </c>
      <c r="L828" s="31">
        <f>Table2[[#This Row],[gross sales]]-Table2[[#This Row],[net sale]]</f>
        <v>576</v>
      </c>
      <c r="M828" s="36" t="str">
        <f>TEXT(B828,"mmm")</f>
        <v>Mar</v>
      </c>
    </row>
    <row r="829" spans="1:13">
      <c r="A829" s="19">
        <v>1828</v>
      </c>
      <c r="B829" s="18">
        <v>45870</v>
      </c>
      <c r="C829" s="19" t="s">
        <v>35</v>
      </c>
      <c r="D829" s="19" t="s">
        <v>36</v>
      </c>
      <c r="E829" s="19" t="s">
        <v>14</v>
      </c>
      <c r="F829" s="19" t="s">
        <v>20</v>
      </c>
      <c r="G829" s="19">
        <v>11</v>
      </c>
      <c r="H829" s="20">
        <v>3500</v>
      </c>
      <c r="I829" s="24">
        <v>0.15</v>
      </c>
      <c r="J829" s="28">
        <f>Table2[[#This Row],[Quantity]]*Table2[[#This Row],[Unit_Price]]</f>
        <v>38500</v>
      </c>
      <c r="K829" s="31">
        <f t="shared" si="12"/>
        <v>32725</v>
      </c>
      <c r="L829" s="31">
        <f>Table2[[#This Row],[gross sales]]-Table2[[#This Row],[net sale]]</f>
        <v>5775</v>
      </c>
      <c r="M829" s="37" t="str">
        <f>TEXT(B829,"mmm")</f>
        <v>Aug</v>
      </c>
    </row>
    <row r="830" spans="1:13">
      <c r="A830" s="16">
        <v>1829</v>
      </c>
      <c r="B830" s="15">
        <v>46003</v>
      </c>
      <c r="C830" s="16" t="s">
        <v>34</v>
      </c>
      <c r="D830" s="16" t="s">
        <v>26</v>
      </c>
      <c r="E830" s="16" t="s">
        <v>17</v>
      </c>
      <c r="F830" s="16" t="s">
        <v>15</v>
      </c>
      <c r="G830" s="16">
        <v>16</v>
      </c>
      <c r="H830" s="17">
        <v>15000</v>
      </c>
      <c r="I830" s="23">
        <v>0.05</v>
      </c>
      <c r="J830" s="28">
        <f>Table2[[#This Row],[Quantity]]*Table2[[#This Row],[Unit_Price]]</f>
        <v>240000</v>
      </c>
      <c r="K830" s="31">
        <f t="shared" si="12"/>
        <v>228000</v>
      </c>
      <c r="L830" s="31">
        <f>Table2[[#This Row],[gross sales]]-Table2[[#This Row],[net sale]]</f>
        <v>12000</v>
      </c>
      <c r="M830" s="36" t="str">
        <f>TEXT(B830,"mmm")</f>
        <v>Dec</v>
      </c>
    </row>
    <row r="831" spans="1:13">
      <c r="A831" s="19">
        <v>1830</v>
      </c>
      <c r="B831" s="18">
        <v>45669</v>
      </c>
      <c r="C831" s="19" t="s">
        <v>19</v>
      </c>
      <c r="D831" s="19" t="s">
        <v>10</v>
      </c>
      <c r="E831" s="19" t="s">
        <v>17</v>
      </c>
      <c r="F831" s="19" t="s">
        <v>32</v>
      </c>
      <c r="G831" s="19">
        <v>2</v>
      </c>
      <c r="H831" s="19">
        <v>800</v>
      </c>
      <c r="I831" s="24">
        <v>0.05</v>
      </c>
      <c r="J831" s="28">
        <f>Table2[[#This Row],[Quantity]]*Table2[[#This Row],[Unit_Price]]</f>
        <v>1600</v>
      </c>
      <c r="K831" s="31">
        <f t="shared" si="12"/>
        <v>1520</v>
      </c>
      <c r="L831" s="31">
        <f>Table2[[#This Row],[gross sales]]-Table2[[#This Row],[net sale]]</f>
        <v>80</v>
      </c>
      <c r="M831" s="37" t="str">
        <f>TEXT(B831,"mmm")</f>
        <v>Jan</v>
      </c>
    </row>
    <row r="832" spans="1:13">
      <c r="A832" s="16">
        <v>1831</v>
      </c>
      <c r="B832" s="15">
        <v>45980</v>
      </c>
      <c r="C832" s="16" t="s">
        <v>25</v>
      </c>
      <c r="D832" s="16" t="s">
        <v>26</v>
      </c>
      <c r="E832" s="16" t="s">
        <v>17</v>
      </c>
      <c r="F832" s="16" t="s">
        <v>18</v>
      </c>
      <c r="G832" s="16">
        <v>2</v>
      </c>
      <c r="H832" s="17">
        <v>11000</v>
      </c>
      <c r="I832" s="23">
        <v>0.12</v>
      </c>
      <c r="J832" s="28">
        <f>Table2[[#This Row],[Quantity]]*Table2[[#This Row],[Unit_Price]]</f>
        <v>22000</v>
      </c>
      <c r="K832" s="31">
        <f t="shared" si="12"/>
        <v>19360</v>
      </c>
      <c r="L832" s="31">
        <f>Table2[[#This Row],[gross sales]]-Table2[[#This Row],[net sale]]</f>
        <v>2640</v>
      </c>
      <c r="M832" s="36" t="str">
        <f>TEXT(B832,"mmm")</f>
        <v>Nov</v>
      </c>
    </row>
    <row r="833" spans="1:13">
      <c r="A833" s="19">
        <v>1832</v>
      </c>
      <c r="B833" s="18">
        <v>45743</v>
      </c>
      <c r="C833" s="19" t="s">
        <v>21</v>
      </c>
      <c r="D833" s="19" t="s">
        <v>10</v>
      </c>
      <c r="E833" s="19" t="s">
        <v>22</v>
      </c>
      <c r="F833" s="19" t="s">
        <v>18</v>
      </c>
      <c r="G833" s="19">
        <v>6</v>
      </c>
      <c r="H833" s="20">
        <v>14000</v>
      </c>
      <c r="I833" s="24">
        <v>0.12</v>
      </c>
      <c r="J833" s="28">
        <f>Table2[[#This Row],[Quantity]]*Table2[[#This Row],[Unit_Price]]</f>
        <v>84000</v>
      </c>
      <c r="K833" s="31">
        <f t="shared" si="12"/>
        <v>73920</v>
      </c>
      <c r="L833" s="31">
        <f>Table2[[#This Row],[gross sales]]-Table2[[#This Row],[net sale]]</f>
        <v>10080</v>
      </c>
      <c r="M833" s="37" t="str">
        <f>TEXT(B833,"mmm")</f>
        <v>Mar</v>
      </c>
    </row>
    <row r="834" spans="1:13">
      <c r="A834" s="16">
        <v>1833</v>
      </c>
      <c r="B834" s="15">
        <v>45996</v>
      </c>
      <c r="C834" s="16" t="s">
        <v>38</v>
      </c>
      <c r="D834" s="16" t="s">
        <v>10</v>
      </c>
      <c r="E834" s="16" t="s">
        <v>17</v>
      </c>
      <c r="F834" s="16" t="s">
        <v>20</v>
      </c>
      <c r="G834" s="16">
        <v>10</v>
      </c>
      <c r="H834" s="17">
        <v>42000</v>
      </c>
      <c r="I834" s="23">
        <v>0</v>
      </c>
      <c r="J834" s="28">
        <f>Table2[[#This Row],[Quantity]]*Table2[[#This Row],[Unit_Price]]</f>
        <v>420000</v>
      </c>
      <c r="K834" s="31">
        <f t="shared" ref="K834:K897" si="13">J834*(1-I834)</f>
        <v>420000</v>
      </c>
      <c r="L834" s="31">
        <f>Table2[[#This Row],[gross sales]]-Table2[[#This Row],[net sale]]</f>
        <v>0</v>
      </c>
      <c r="M834" s="36" t="str">
        <f>TEXT(B834,"mmm")</f>
        <v>Dec</v>
      </c>
    </row>
    <row r="835" spans="1:13">
      <c r="A835" s="19">
        <v>1834</v>
      </c>
      <c r="B835" s="18">
        <v>45968</v>
      </c>
      <c r="C835" s="19" t="s">
        <v>34</v>
      </c>
      <c r="D835" s="19" t="s">
        <v>26</v>
      </c>
      <c r="E835" s="19" t="s">
        <v>17</v>
      </c>
      <c r="F835" s="19" t="s">
        <v>15</v>
      </c>
      <c r="G835" s="19">
        <v>16</v>
      </c>
      <c r="H835" s="20">
        <v>15000</v>
      </c>
      <c r="I835" s="24">
        <v>0.05</v>
      </c>
      <c r="J835" s="28">
        <f>Table2[[#This Row],[Quantity]]*Table2[[#This Row],[Unit_Price]]</f>
        <v>240000</v>
      </c>
      <c r="K835" s="31">
        <f t="shared" si="13"/>
        <v>228000</v>
      </c>
      <c r="L835" s="31">
        <f>Table2[[#This Row],[gross sales]]-Table2[[#This Row],[net sale]]</f>
        <v>12000</v>
      </c>
      <c r="M835" s="37" t="str">
        <f>TEXT(B835,"mmm")</f>
        <v>Nov</v>
      </c>
    </row>
    <row r="836" spans="1:13">
      <c r="A836" s="16">
        <v>1835</v>
      </c>
      <c r="B836" s="15">
        <v>45965</v>
      </c>
      <c r="C836" s="16" t="s">
        <v>13</v>
      </c>
      <c r="D836" s="16" t="s">
        <v>10</v>
      </c>
      <c r="E836" s="16" t="s">
        <v>11</v>
      </c>
      <c r="F836" s="16" t="s">
        <v>32</v>
      </c>
      <c r="G836" s="16">
        <v>19</v>
      </c>
      <c r="H836" s="17">
        <v>1200</v>
      </c>
      <c r="I836" s="23">
        <v>0.05</v>
      </c>
      <c r="J836" s="28">
        <f>Table2[[#This Row],[Quantity]]*Table2[[#This Row],[Unit_Price]]</f>
        <v>22800</v>
      </c>
      <c r="K836" s="31">
        <f t="shared" si="13"/>
        <v>21660</v>
      </c>
      <c r="L836" s="31">
        <f>Table2[[#This Row],[gross sales]]-Table2[[#This Row],[net sale]]</f>
        <v>1140</v>
      </c>
      <c r="M836" s="36" t="str">
        <f>TEXT(B836,"mmm")</f>
        <v>Nov</v>
      </c>
    </row>
    <row r="837" spans="1:13">
      <c r="A837" s="19">
        <v>1836</v>
      </c>
      <c r="B837" s="18">
        <v>46009</v>
      </c>
      <c r="C837" s="19" t="s">
        <v>33</v>
      </c>
      <c r="D837" s="19" t="s">
        <v>10</v>
      </c>
      <c r="E837" s="19" t="s">
        <v>14</v>
      </c>
      <c r="F837" s="19" t="s">
        <v>12</v>
      </c>
      <c r="G837" s="19">
        <v>15</v>
      </c>
      <c r="H837" s="20">
        <v>2500</v>
      </c>
      <c r="I837" s="24">
        <v>0.12</v>
      </c>
      <c r="J837" s="28">
        <f>Table2[[#This Row],[Quantity]]*Table2[[#This Row],[Unit_Price]]</f>
        <v>37500</v>
      </c>
      <c r="K837" s="31">
        <f t="shared" si="13"/>
        <v>33000</v>
      </c>
      <c r="L837" s="31">
        <f>Table2[[#This Row],[gross sales]]-Table2[[#This Row],[net sale]]</f>
        <v>4500</v>
      </c>
      <c r="M837" s="37" t="str">
        <f>TEXT(B837,"mmm")</f>
        <v>Dec</v>
      </c>
    </row>
    <row r="838" spans="1:13">
      <c r="A838" s="16">
        <v>1837</v>
      </c>
      <c r="B838" s="15">
        <v>45851</v>
      </c>
      <c r="C838" s="16" t="s">
        <v>31</v>
      </c>
      <c r="D838" s="16" t="s">
        <v>26</v>
      </c>
      <c r="E838" s="16" t="s">
        <v>14</v>
      </c>
      <c r="F838" s="16" t="s">
        <v>12</v>
      </c>
      <c r="G838" s="16">
        <v>5</v>
      </c>
      <c r="H838" s="17">
        <v>8500</v>
      </c>
      <c r="I838" s="23">
        <v>0</v>
      </c>
      <c r="J838" s="28">
        <f>Table2[[#This Row],[Quantity]]*Table2[[#This Row],[Unit_Price]]</f>
        <v>42500</v>
      </c>
      <c r="K838" s="31">
        <f t="shared" si="13"/>
        <v>42500</v>
      </c>
      <c r="L838" s="31">
        <f>Table2[[#This Row],[gross sales]]-Table2[[#This Row],[net sale]]</f>
        <v>0</v>
      </c>
      <c r="M838" s="36" t="str">
        <f>TEXT(B838,"mmm")</f>
        <v>Jul</v>
      </c>
    </row>
    <row r="839" spans="1:13">
      <c r="A839" s="19">
        <v>1838</v>
      </c>
      <c r="B839" s="18">
        <v>45925</v>
      </c>
      <c r="C839" s="19" t="s">
        <v>38</v>
      </c>
      <c r="D839" s="19" t="s">
        <v>10</v>
      </c>
      <c r="E839" s="19" t="s">
        <v>22</v>
      </c>
      <c r="F839" s="19" t="s">
        <v>32</v>
      </c>
      <c r="G839" s="19">
        <v>17</v>
      </c>
      <c r="H839" s="20">
        <v>42000</v>
      </c>
      <c r="I839" s="24">
        <v>0.15</v>
      </c>
      <c r="J839" s="28">
        <f>Table2[[#This Row],[Quantity]]*Table2[[#This Row],[Unit_Price]]</f>
        <v>714000</v>
      </c>
      <c r="K839" s="31">
        <f t="shared" si="13"/>
        <v>606900</v>
      </c>
      <c r="L839" s="31">
        <f>Table2[[#This Row],[gross sales]]-Table2[[#This Row],[net sale]]</f>
        <v>107100</v>
      </c>
      <c r="M839" s="37" t="str">
        <f>TEXT(B839,"mmm")</f>
        <v>Sep</v>
      </c>
    </row>
    <row r="840" spans="1:13">
      <c r="A840" s="16">
        <v>1839</v>
      </c>
      <c r="B840" s="15">
        <v>45968</v>
      </c>
      <c r="C840" s="16" t="s">
        <v>9</v>
      </c>
      <c r="D840" s="16" t="s">
        <v>10</v>
      </c>
      <c r="E840" s="16" t="s">
        <v>14</v>
      </c>
      <c r="F840" s="16" t="s">
        <v>24</v>
      </c>
      <c r="G840" s="16">
        <v>6</v>
      </c>
      <c r="H840" s="17">
        <v>18000</v>
      </c>
      <c r="I840" s="23">
        <v>0.1</v>
      </c>
      <c r="J840" s="28">
        <f>Table2[[#This Row],[Quantity]]*Table2[[#This Row],[Unit_Price]]</f>
        <v>108000</v>
      </c>
      <c r="K840" s="31">
        <f t="shared" si="13"/>
        <v>97200</v>
      </c>
      <c r="L840" s="31">
        <f>Table2[[#This Row],[gross sales]]-Table2[[#This Row],[net sale]]</f>
        <v>10800</v>
      </c>
      <c r="M840" s="36" t="str">
        <f>TEXT(B840,"mmm")</f>
        <v>Nov</v>
      </c>
    </row>
    <row r="841" spans="1:13">
      <c r="A841" s="19">
        <v>1840</v>
      </c>
      <c r="B841" s="18">
        <v>45705</v>
      </c>
      <c r="C841" s="19" t="s">
        <v>34</v>
      </c>
      <c r="D841" s="19" t="s">
        <v>26</v>
      </c>
      <c r="E841" s="19" t="s">
        <v>14</v>
      </c>
      <c r="F841" s="19" t="s">
        <v>15</v>
      </c>
      <c r="G841" s="19">
        <v>5</v>
      </c>
      <c r="H841" s="20">
        <v>15000</v>
      </c>
      <c r="I841" s="24">
        <v>0.12</v>
      </c>
      <c r="J841" s="28">
        <f>Table2[[#This Row],[Quantity]]*Table2[[#This Row],[Unit_Price]]</f>
        <v>75000</v>
      </c>
      <c r="K841" s="31">
        <f t="shared" si="13"/>
        <v>66000</v>
      </c>
      <c r="L841" s="31">
        <f>Table2[[#This Row],[gross sales]]-Table2[[#This Row],[net sale]]</f>
        <v>9000</v>
      </c>
      <c r="M841" s="37" t="str">
        <f>TEXT(B841,"mmm")</f>
        <v>Feb</v>
      </c>
    </row>
    <row r="842" spans="1:13">
      <c r="A842" s="16">
        <v>1841</v>
      </c>
      <c r="B842" s="15">
        <v>45925</v>
      </c>
      <c r="C842" s="16" t="s">
        <v>31</v>
      </c>
      <c r="D842" s="16" t="s">
        <v>26</v>
      </c>
      <c r="E842" s="16" t="s">
        <v>22</v>
      </c>
      <c r="F842" s="16" t="s">
        <v>12</v>
      </c>
      <c r="G842" s="16">
        <v>12</v>
      </c>
      <c r="H842" s="17">
        <v>8500</v>
      </c>
      <c r="I842" s="23">
        <v>0</v>
      </c>
      <c r="J842" s="28">
        <f>Table2[[#This Row],[Quantity]]*Table2[[#This Row],[Unit_Price]]</f>
        <v>102000</v>
      </c>
      <c r="K842" s="31">
        <f t="shared" si="13"/>
        <v>102000</v>
      </c>
      <c r="L842" s="31">
        <f>Table2[[#This Row],[gross sales]]-Table2[[#This Row],[net sale]]</f>
        <v>0</v>
      </c>
      <c r="M842" s="36" t="str">
        <f>TEXT(B842,"mmm")</f>
        <v>Sep</v>
      </c>
    </row>
    <row r="843" spans="1:13">
      <c r="A843" s="19">
        <v>1842</v>
      </c>
      <c r="B843" s="18">
        <v>45904</v>
      </c>
      <c r="C843" s="19" t="s">
        <v>35</v>
      </c>
      <c r="D843" s="19" t="s">
        <v>36</v>
      </c>
      <c r="E843" s="19" t="s">
        <v>14</v>
      </c>
      <c r="F843" s="19" t="s">
        <v>15</v>
      </c>
      <c r="G843" s="19">
        <v>13</v>
      </c>
      <c r="H843" s="20">
        <v>3500</v>
      </c>
      <c r="I843" s="24">
        <v>0.08</v>
      </c>
      <c r="J843" s="28">
        <f>Table2[[#This Row],[Quantity]]*Table2[[#This Row],[Unit_Price]]</f>
        <v>45500</v>
      </c>
      <c r="K843" s="31">
        <f t="shared" si="13"/>
        <v>41860</v>
      </c>
      <c r="L843" s="31">
        <f>Table2[[#This Row],[gross sales]]-Table2[[#This Row],[net sale]]</f>
        <v>3640</v>
      </c>
      <c r="M843" s="37" t="str">
        <f>TEXT(B843,"mmm")</f>
        <v>Sep</v>
      </c>
    </row>
    <row r="844" spans="1:13">
      <c r="A844" s="16">
        <v>1843</v>
      </c>
      <c r="B844" s="15">
        <v>45726</v>
      </c>
      <c r="C844" s="16" t="s">
        <v>21</v>
      </c>
      <c r="D844" s="16" t="s">
        <v>10</v>
      </c>
      <c r="E844" s="16" t="s">
        <v>14</v>
      </c>
      <c r="F844" s="16" t="s">
        <v>27</v>
      </c>
      <c r="G844" s="16">
        <v>16</v>
      </c>
      <c r="H844" s="17">
        <v>14000</v>
      </c>
      <c r="I844" s="23">
        <v>0.05</v>
      </c>
      <c r="J844" s="28">
        <f>Table2[[#This Row],[Quantity]]*Table2[[#This Row],[Unit_Price]]</f>
        <v>224000</v>
      </c>
      <c r="K844" s="31">
        <f t="shared" si="13"/>
        <v>212800</v>
      </c>
      <c r="L844" s="31">
        <f>Table2[[#This Row],[gross sales]]-Table2[[#This Row],[net sale]]</f>
        <v>11200</v>
      </c>
      <c r="M844" s="36" t="str">
        <f>TEXT(B844,"mmm")</f>
        <v>Mar</v>
      </c>
    </row>
    <row r="845" spans="1:13">
      <c r="A845" s="19">
        <v>1844</v>
      </c>
      <c r="B845" s="18">
        <v>45964</v>
      </c>
      <c r="C845" s="19" t="s">
        <v>37</v>
      </c>
      <c r="D845" s="19" t="s">
        <v>36</v>
      </c>
      <c r="E845" s="19" t="s">
        <v>11</v>
      </c>
      <c r="F845" s="19" t="s">
        <v>12</v>
      </c>
      <c r="G845" s="19">
        <v>18</v>
      </c>
      <c r="H845" s="20">
        <v>1800</v>
      </c>
      <c r="I845" s="24">
        <v>0.1</v>
      </c>
      <c r="J845" s="28">
        <f>Table2[[#This Row],[Quantity]]*Table2[[#This Row],[Unit_Price]]</f>
        <v>32400</v>
      </c>
      <c r="K845" s="31">
        <f t="shared" si="13"/>
        <v>29160</v>
      </c>
      <c r="L845" s="31">
        <f>Table2[[#This Row],[gross sales]]-Table2[[#This Row],[net sale]]</f>
        <v>3240</v>
      </c>
      <c r="M845" s="37" t="str">
        <f>TEXT(B845,"mmm")</f>
        <v>Nov</v>
      </c>
    </row>
    <row r="846" spans="1:13">
      <c r="A846" s="16">
        <v>1845</v>
      </c>
      <c r="B846" s="15">
        <v>45660</v>
      </c>
      <c r="C846" s="16" t="s">
        <v>39</v>
      </c>
      <c r="D846" s="16" t="s">
        <v>30</v>
      </c>
      <c r="E846" s="16" t="s">
        <v>14</v>
      </c>
      <c r="F846" s="16" t="s">
        <v>18</v>
      </c>
      <c r="G846" s="16">
        <v>1</v>
      </c>
      <c r="H846" s="16">
        <v>180</v>
      </c>
      <c r="I846" s="23">
        <v>0.12</v>
      </c>
      <c r="J846" s="28">
        <f>Table2[[#This Row],[Quantity]]*Table2[[#This Row],[Unit_Price]]</f>
        <v>180</v>
      </c>
      <c r="K846" s="31">
        <f t="shared" si="13"/>
        <v>158.4</v>
      </c>
      <c r="L846" s="31">
        <f>Table2[[#This Row],[gross sales]]-Table2[[#This Row],[net sale]]</f>
        <v>21.599999999999994</v>
      </c>
      <c r="M846" s="36" t="str">
        <f>TEXT(B846,"mmm")</f>
        <v>Jan</v>
      </c>
    </row>
    <row r="847" spans="1:13">
      <c r="A847" s="19">
        <v>1846</v>
      </c>
      <c r="B847" s="18">
        <v>45850</v>
      </c>
      <c r="C847" s="19" t="s">
        <v>29</v>
      </c>
      <c r="D847" s="19" t="s">
        <v>30</v>
      </c>
      <c r="E847" s="19" t="s">
        <v>11</v>
      </c>
      <c r="F847" s="19" t="s">
        <v>15</v>
      </c>
      <c r="G847" s="19">
        <v>7</v>
      </c>
      <c r="H847" s="19">
        <v>250</v>
      </c>
      <c r="I847" s="24">
        <v>0.15</v>
      </c>
      <c r="J847" s="28">
        <f>Table2[[#This Row],[Quantity]]*Table2[[#This Row],[Unit_Price]]</f>
        <v>1750</v>
      </c>
      <c r="K847" s="31">
        <f t="shared" si="13"/>
        <v>1487.5</v>
      </c>
      <c r="L847" s="31">
        <f>Table2[[#This Row],[gross sales]]-Table2[[#This Row],[net sale]]</f>
        <v>262.5</v>
      </c>
      <c r="M847" s="37" t="str">
        <f>TEXT(B847,"mmm")</f>
        <v>Jul</v>
      </c>
    </row>
    <row r="848" spans="1:13">
      <c r="A848" s="16">
        <v>1847</v>
      </c>
      <c r="B848" s="15">
        <v>45843</v>
      </c>
      <c r="C848" s="16" t="s">
        <v>9</v>
      </c>
      <c r="D848" s="16" t="s">
        <v>10</v>
      </c>
      <c r="E848" s="16" t="s">
        <v>11</v>
      </c>
      <c r="F848" s="16" t="s">
        <v>27</v>
      </c>
      <c r="G848" s="16">
        <v>5</v>
      </c>
      <c r="H848" s="17">
        <v>18000</v>
      </c>
      <c r="I848" s="23">
        <v>0.1</v>
      </c>
      <c r="J848" s="28">
        <f>Table2[[#This Row],[Quantity]]*Table2[[#This Row],[Unit_Price]]</f>
        <v>90000</v>
      </c>
      <c r="K848" s="31">
        <f t="shared" si="13"/>
        <v>81000</v>
      </c>
      <c r="L848" s="31">
        <f>Table2[[#This Row],[gross sales]]-Table2[[#This Row],[net sale]]</f>
        <v>9000</v>
      </c>
      <c r="M848" s="36" t="str">
        <f>TEXT(B848,"mmm")</f>
        <v>Jul</v>
      </c>
    </row>
    <row r="849" spans="1:13">
      <c r="A849" s="19">
        <v>1848</v>
      </c>
      <c r="B849" s="18">
        <v>45932</v>
      </c>
      <c r="C849" s="19" t="s">
        <v>31</v>
      </c>
      <c r="D849" s="19" t="s">
        <v>26</v>
      </c>
      <c r="E849" s="19" t="s">
        <v>11</v>
      </c>
      <c r="F849" s="19" t="s">
        <v>15</v>
      </c>
      <c r="G849" s="19">
        <v>19</v>
      </c>
      <c r="H849" s="20">
        <v>8500</v>
      </c>
      <c r="I849" s="24">
        <v>0.08</v>
      </c>
      <c r="J849" s="28">
        <f>Table2[[#This Row],[Quantity]]*Table2[[#This Row],[Unit_Price]]</f>
        <v>161500</v>
      </c>
      <c r="K849" s="31">
        <f t="shared" si="13"/>
        <v>148580</v>
      </c>
      <c r="L849" s="31">
        <f>Table2[[#This Row],[gross sales]]-Table2[[#This Row],[net sale]]</f>
        <v>12920</v>
      </c>
      <c r="M849" s="37" t="str">
        <f>TEXT(B849,"mmm")</f>
        <v>Oct</v>
      </c>
    </row>
    <row r="850" spans="1:13">
      <c r="A850" s="16">
        <v>1849</v>
      </c>
      <c r="B850" s="15">
        <v>45762</v>
      </c>
      <c r="C850" s="16" t="s">
        <v>31</v>
      </c>
      <c r="D850" s="16" t="s">
        <v>26</v>
      </c>
      <c r="E850" s="16" t="s">
        <v>22</v>
      </c>
      <c r="F850" s="16" t="s">
        <v>32</v>
      </c>
      <c r="G850" s="16">
        <v>18</v>
      </c>
      <c r="H850" s="17">
        <v>8500</v>
      </c>
      <c r="I850" s="23">
        <v>0.12</v>
      </c>
      <c r="J850" s="28">
        <f>Table2[[#This Row],[Quantity]]*Table2[[#This Row],[Unit_Price]]</f>
        <v>153000</v>
      </c>
      <c r="K850" s="31">
        <f t="shared" si="13"/>
        <v>134640</v>
      </c>
      <c r="L850" s="31">
        <f>Table2[[#This Row],[gross sales]]-Table2[[#This Row],[net sale]]</f>
        <v>18360</v>
      </c>
      <c r="M850" s="36" t="str">
        <f>TEXT(B850,"mmm")</f>
        <v>Apr</v>
      </c>
    </row>
    <row r="851" spans="1:13">
      <c r="A851" s="19">
        <v>1850</v>
      </c>
      <c r="B851" s="18">
        <v>45847</v>
      </c>
      <c r="C851" s="19" t="s">
        <v>25</v>
      </c>
      <c r="D851" s="19" t="s">
        <v>26</v>
      </c>
      <c r="E851" s="19" t="s">
        <v>11</v>
      </c>
      <c r="F851" s="19" t="s">
        <v>27</v>
      </c>
      <c r="G851" s="19">
        <v>18</v>
      </c>
      <c r="H851" s="20">
        <v>11000</v>
      </c>
      <c r="I851" s="24">
        <v>0.1</v>
      </c>
      <c r="J851" s="28">
        <f>Table2[[#This Row],[Quantity]]*Table2[[#This Row],[Unit_Price]]</f>
        <v>198000</v>
      </c>
      <c r="K851" s="31">
        <f t="shared" si="13"/>
        <v>178200</v>
      </c>
      <c r="L851" s="31">
        <f>Table2[[#This Row],[gross sales]]-Table2[[#This Row],[net sale]]</f>
        <v>19800</v>
      </c>
      <c r="M851" s="37" t="str">
        <f>TEXT(B851,"mmm")</f>
        <v>Jul</v>
      </c>
    </row>
    <row r="852" spans="1:13">
      <c r="A852" s="16">
        <v>1851</v>
      </c>
      <c r="B852" s="15">
        <v>45953</v>
      </c>
      <c r="C852" s="16" t="s">
        <v>33</v>
      </c>
      <c r="D852" s="16" t="s">
        <v>10</v>
      </c>
      <c r="E852" s="16" t="s">
        <v>17</v>
      </c>
      <c r="F852" s="16" t="s">
        <v>24</v>
      </c>
      <c r="G852" s="16">
        <v>13</v>
      </c>
      <c r="H852" s="17">
        <v>2500</v>
      </c>
      <c r="I852" s="23">
        <v>0.15</v>
      </c>
      <c r="J852" s="28">
        <f>Table2[[#This Row],[Quantity]]*Table2[[#This Row],[Unit_Price]]</f>
        <v>32500</v>
      </c>
      <c r="K852" s="31">
        <f t="shared" si="13"/>
        <v>27625</v>
      </c>
      <c r="L852" s="31">
        <f>Table2[[#This Row],[gross sales]]-Table2[[#This Row],[net sale]]</f>
        <v>4875</v>
      </c>
      <c r="M852" s="36" t="str">
        <f>TEXT(B852,"mmm")</f>
        <v>Oct</v>
      </c>
    </row>
    <row r="853" spans="1:13">
      <c r="A853" s="19">
        <v>1852</v>
      </c>
      <c r="B853" s="18">
        <v>45775</v>
      </c>
      <c r="C853" s="19" t="s">
        <v>34</v>
      </c>
      <c r="D853" s="19" t="s">
        <v>26</v>
      </c>
      <c r="E853" s="19" t="s">
        <v>17</v>
      </c>
      <c r="F853" s="19" t="s">
        <v>15</v>
      </c>
      <c r="G853" s="19">
        <v>6</v>
      </c>
      <c r="H853" s="20">
        <v>15000</v>
      </c>
      <c r="I853" s="24">
        <v>0</v>
      </c>
      <c r="J853" s="28">
        <f>Table2[[#This Row],[Quantity]]*Table2[[#This Row],[Unit_Price]]</f>
        <v>90000</v>
      </c>
      <c r="K853" s="31">
        <f t="shared" si="13"/>
        <v>90000</v>
      </c>
      <c r="L853" s="31">
        <f>Table2[[#This Row],[gross sales]]-Table2[[#This Row],[net sale]]</f>
        <v>0</v>
      </c>
      <c r="M853" s="37" t="str">
        <f>TEXT(B853,"mmm")</f>
        <v>Apr</v>
      </c>
    </row>
    <row r="854" spans="1:13">
      <c r="A854" s="16">
        <v>1853</v>
      </c>
      <c r="B854" s="15">
        <v>45831</v>
      </c>
      <c r="C854" s="16" t="s">
        <v>35</v>
      </c>
      <c r="D854" s="16" t="s">
        <v>36</v>
      </c>
      <c r="E854" s="16" t="s">
        <v>14</v>
      </c>
      <c r="F854" s="16" t="s">
        <v>32</v>
      </c>
      <c r="G854" s="16">
        <v>18</v>
      </c>
      <c r="H854" s="17">
        <v>3500</v>
      </c>
      <c r="I854" s="23">
        <v>0.12</v>
      </c>
      <c r="J854" s="28">
        <f>Table2[[#This Row],[Quantity]]*Table2[[#This Row],[Unit_Price]]</f>
        <v>63000</v>
      </c>
      <c r="K854" s="31">
        <f t="shared" si="13"/>
        <v>55440</v>
      </c>
      <c r="L854" s="31">
        <f>Table2[[#This Row],[gross sales]]-Table2[[#This Row],[net sale]]</f>
        <v>7560</v>
      </c>
      <c r="M854" s="36" t="str">
        <f>TEXT(B854,"mmm")</f>
        <v>Jun</v>
      </c>
    </row>
    <row r="855" spans="1:13">
      <c r="A855" s="19">
        <v>1854</v>
      </c>
      <c r="B855" s="18">
        <v>45857</v>
      </c>
      <c r="C855" s="19" t="s">
        <v>29</v>
      </c>
      <c r="D855" s="19" t="s">
        <v>30</v>
      </c>
      <c r="E855" s="19" t="s">
        <v>17</v>
      </c>
      <c r="F855" s="19" t="s">
        <v>20</v>
      </c>
      <c r="G855" s="19">
        <v>1</v>
      </c>
      <c r="H855" s="19">
        <v>250</v>
      </c>
      <c r="I855" s="24">
        <v>0</v>
      </c>
      <c r="J855" s="28">
        <f>Table2[[#This Row],[Quantity]]*Table2[[#This Row],[Unit_Price]]</f>
        <v>250</v>
      </c>
      <c r="K855" s="31">
        <f t="shared" si="13"/>
        <v>250</v>
      </c>
      <c r="L855" s="31">
        <f>Table2[[#This Row],[gross sales]]-Table2[[#This Row],[net sale]]</f>
        <v>0</v>
      </c>
      <c r="M855" s="37" t="str">
        <f>TEXT(B855,"mmm")</f>
        <v>Jul</v>
      </c>
    </row>
    <row r="856" spans="1:13">
      <c r="A856" s="16">
        <v>1855</v>
      </c>
      <c r="B856" s="15">
        <v>45965</v>
      </c>
      <c r="C856" s="16" t="s">
        <v>31</v>
      </c>
      <c r="D856" s="16" t="s">
        <v>26</v>
      </c>
      <c r="E856" s="16" t="s">
        <v>11</v>
      </c>
      <c r="F856" s="16" t="s">
        <v>12</v>
      </c>
      <c r="G856" s="16">
        <v>3</v>
      </c>
      <c r="H856" s="17">
        <v>8500</v>
      </c>
      <c r="I856" s="23">
        <v>0</v>
      </c>
      <c r="J856" s="28">
        <f>Table2[[#This Row],[Quantity]]*Table2[[#This Row],[Unit_Price]]</f>
        <v>25500</v>
      </c>
      <c r="K856" s="31">
        <f t="shared" si="13"/>
        <v>25500</v>
      </c>
      <c r="L856" s="31">
        <f>Table2[[#This Row],[gross sales]]-Table2[[#This Row],[net sale]]</f>
        <v>0</v>
      </c>
      <c r="M856" s="36" t="str">
        <f>TEXT(B856,"mmm")</f>
        <v>Nov</v>
      </c>
    </row>
    <row r="857" spans="1:13">
      <c r="A857" s="19">
        <v>1856</v>
      </c>
      <c r="B857" s="18">
        <v>45847</v>
      </c>
      <c r="C857" s="19" t="s">
        <v>9</v>
      </c>
      <c r="D857" s="19" t="s">
        <v>10</v>
      </c>
      <c r="E857" s="19" t="s">
        <v>22</v>
      </c>
      <c r="F857" s="19" t="s">
        <v>15</v>
      </c>
      <c r="G857" s="19">
        <v>20</v>
      </c>
      <c r="H857" s="20">
        <v>18000</v>
      </c>
      <c r="I857" s="24">
        <v>0</v>
      </c>
      <c r="J857" s="28">
        <f>Table2[[#This Row],[Quantity]]*Table2[[#This Row],[Unit_Price]]</f>
        <v>360000</v>
      </c>
      <c r="K857" s="31">
        <f t="shared" si="13"/>
        <v>360000</v>
      </c>
      <c r="L857" s="31">
        <f>Table2[[#This Row],[gross sales]]-Table2[[#This Row],[net sale]]</f>
        <v>0</v>
      </c>
      <c r="M857" s="37" t="str">
        <f>TEXT(B857,"mmm")</f>
        <v>Jul</v>
      </c>
    </row>
    <row r="858" spans="1:13">
      <c r="A858" s="16">
        <v>1857</v>
      </c>
      <c r="B858" s="15">
        <v>45972</v>
      </c>
      <c r="C858" s="16" t="s">
        <v>29</v>
      </c>
      <c r="D858" s="16" t="s">
        <v>30</v>
      </c>
      <c r="E858" s="16" t="s">
        <v>14</v>
      </c>
      <c r="F858" s="16" t="s">
        <v>32</v>
      </c>
      <c r="G858" s="16">
        <v>17</v>
      </c>
      <c r="H858" s="16">
        <v>250</v>
      </c>
      <c r="I858" s="23">
        <v>0.08</v>
      </c>
      <c r="J858" s="28">
        <f>Table2[[#This Row],[Quantity]]*Table2[[#This Row],[Unit_Price]]</f>
        <v>4250</v>
      </c>
      <c r="K858" s="31">
        <f t="shared" si="13"/>
        <v>3910</v>
      </c>
      <c r="L858" s="31">
        <f>Table2[[#This Row],[gross sales]]-Table2[[#This Row],[net sale]]</f>
        <v>340</v>
      </c>
      <c r="M858" s="36" t="str">
        <f>TEXT(B858,"mmm")</f>
        <v>Nov</v>
      </c>
    </row>
    <row r="859" spans="1:13">
      <c r="A859" s="19">
        <v>1858</v>
      </c>
      <c r="B859" s="18">
        <v>45985</v>
      </c>
      <c r="C859" s="19" t="s">
        <v>34</v>
      </c>
      <c r="D859" s="19" t="s">
        <v>26</v>
      </c>
      <c r="E859" s="19" t="s">
        <v>17</v>
      </c>
      <c r="F859" s="19" t="s">
        <v>27</v>
      </c>
      <c r="G859" s="19">
        <v>15</v>
      </c>
      <c r="H859" s="20">
        <v>15000</v>
      </c>
      <c r="I859" s="24">
        <v>0</v>
      </c>
      <c r="J859" s="28">
        <f>Table2[[#This Row],[Quantity]]*Table2[[#This Row],[Unit_Price]]</f>
        <v>225000</v>
      </c>
      <c r="K859" s="31">
        <f t="shared" si="13"/>
        <v>225000</v>
      </c>
      <c r="L859" s="31">
        <f>Table2[[#This Row],[gross sales]]-Table2[[#This Row],[net sale]]</f>
        <v>0</v>
      </c>
      <c r="M859" s="37" t="str">
        <f>TEXT(B859,"mmm")</f>
        <v>Nov</v>
      </c>
    </row>
    <row r="860" spans="1:13">
      <c r="A860" s="16">
        <v>1859</v>
      </c>
      <c r="B860" s="15">
        <v>45757</v>
      </c>
      <c r="C860" s="16" t="s">
        <v>16</v>
      </c>
      <c r="D860" s="16" t="s">
        <v>10</v>
      </c>
      <c r="E860" s="16" t="s">
        <v>17</v>
      </c>
      <c r="F860" s="16" t="s">
        <v>32</v>
      </c>
      <c r="G860" s="16">
        <v>20</v>
      </c>
      <c r="H860" s="17">
        <v>55000</v>
      </c>
      <c r="I860" s="23">
        <v>0.12</v>
      </c>
      <c r="J860" s="28">
        <f>Table2[[#This Row],[Quantity]]*Table2[[#This Row],[Unit_Price]]</f>
        <v>1100000</v>
      </c>
      <c r="K860" s="31">
        <f t="shared" si="13"/>
        <v>968000</v>
      </c>
      <c r="L860" s="31">
        <f>Table2[[#This Row],[gross sales]]-Table2[[#This Row],[net sale]]</f>
        <v>132000</v>
      </c>
      <c r="M860" s="36" t="str">
        <f>TEXT(B860,"mmm")</f>
        <v>Apr</v>
      </c>
    </row>
    <row r="861" spans="1:13">
      <c r="A861" s="19">
        <v>1860</v>
      </c>
      <c r="B861" s="18">
        <v>46003</v>
      </c>
      <c r="C861" s="19" t="s">
        <v>16</v>
      </c>
      <c r="D861" s="19" t="s">
        <v>10</v>
      </c>
      <c r="E861" s="19" t="s">
        <v>14</v>
      </c>
      <c r="F861" s="19" t="s">
        <v>32</v>
      </c>
      <c r="G861" s="19">
        <v>12</v>
      </c>
      <c r="H861" s="20">
        <v>55000</v>
      </c>
      <c r="I861" s="24">
        <v>0.05</v>
      </c>
      <c r="J861" s="28">
        <f>Table2[[#This Row],[Quantity]]*Table2[[#This Row],[Unit_Price]]</f>
        <v>660000</v>
      </c>
      <c r="K861" s="31">
        <f t="shared" si="13"/>
        <v>627000</v>
      </c>
      <c r="L861" s="31">
        <f>Table2[[#This Row],[gross sales]]-Table2[[#This Row],[net sale]]</f>
        <v>33000</v>
      </c>
      <c r="M861" s="37" t="str">
        <f>TEXT(B861,"mmm")</f>
        <v>Dec</v>
      </c>
    </row>
    <row r="862" spans="1:13">
      <c r="A862" s="16">
        <v>1861</v>
      </c>
      <c r="B862" s="15">
        <v>45702</v>
      </c>
      <c r="C862" s="16" t="s">
        <v>21</v>
      </c>
      <c r="D862" s="16" t="s">
        <v>10</v>
      </c>
      <c r="E862" s="16" t="s">
        <v>22</v>
      </c>
      <c r="F862" s="16" t="s">
        <v>15</v>
      </c>
      <c r="G862" s="16">
        <v>13</v>
      </c>
      <c r="H862" s="17">
        <v>14000</v>
      </c>
      <c r="I862" s="23">
        <v>0.08</v>
      </c>
      <c r="J862" s="28">
        <f>Table2[[#This Row],[Quantity]]*Table2[[#This Row],[Unit_Price]]</f>
        <v>182000</v>
      </c>
      <c r="K862" s="31">
        <f t="shared" si="13"/>
        <v>167440</v>
      </c>
      <c r="L862" s="31">
        <f>Table2[[#This Row],[gross sales]]-Table2[[#This Row],[net sale]]</f>
        <v>14560</v>
      </c>
      <c r="M862" s="36" t="str">
        <f>TEXT(B862,"mmm")</f>
        <v>Feb</v>
      </c>
    </row>
    <row r="863" spans="1:13">
      <c r="A863" s="19">
        <v>1862</v>
      </c>
      <c r="B863" s="18">
        <v>45958</v>
      </c>
      <c r="C863" s="19" t="s">
        <v>19</v>
      </c>
      <c r="D863" s="19" t="s">
        <v>10</v>
      </c>
      <c r="E863" s="19" t="s">
        <v>14</v>
      </c>
      <c r="F863" s="19" t="s">
        <v>24</v>
      </c>
      <c r="G863" s="19">
        <v>17</v>
      </c>
      <c r="H863" s="19">
        <v>800</v>
      </c>
      <c r="I863" s="24">
        <v>0</v>
      </c>
      <c r="J863" s="28">
        <f>Table2[[#This Row],[Quantity]]*Table2[[#This Row],[Unit_Price]]</f>
        <v>13600</v>
      </c>
      <c r="K863" s="31">
        <f t="shared" si="13"/>
        <v>13600</v>
      </c>
      <c r="L863" s="31">
        <f>Table2[[#This Row],[gross sales]]-Table2[[#This Row],[net sale]]</f>
        <v>0</v>
      </c>
      <c r="M863" s="37" t="str">
        <f>TEXT(B863,"mmm")</f>
        <v>Oct</v>
      </c>
    </row>
    <row r="864" spans="1:13">
      <c r="A864" s="16">
        <v>1863</v>
      </c>
      <c r="B864" s="15">
        <v>45939</v>
      </c>
      <c r="C864" s="16" t="s">
        <v>21</v>
      </c>
      <c r="D864" s="16" t="s">
        <v>10</v>
      </c>
      <c r="E864" s="16" t="s">
        <v>11</v>
      </c>
      <c r="F864" s="16" t="s">
        <v>23</v>
      </c>
      <c r="G864" s="16">
        <v>18</v>
      </c>
      <c r="H864" s="17">
        <v>14000</v>
      </c>
      <c r="I864" s="23">
        <v>0.12</v>
      </c>
      <c r="J864" s="28">
        <f>Table2[[#This Row],[Quantity]]*Table2[[#This Row],[Unit_Price]]</f>
        <v>252000</v>
      </c>
      <c r="K864" s="31">
        <f t="shared" si="13"/>
        <v>221760</v>
      </c>
      <c r="L864" s="31">
        <f>Table2[[#This Row],[gross sales]]-Table2[[#This Row],[net sale]]</f>
        <v>30240</v>
      </c>
      <c r="M864" s="36" t="str">
        <f>TEXT(B864,"mmm")</f>
        <v>Oct</v>
      </c>
    </row>
    <row r="865" spans="1:13">
      <c r="A865" s="19">
        <v>1864</v>
      </c>
      <c r="B865" s="18">
        <v>45799</v>
      </c>
      <c r="C865" s="19" t="s">
        <v>19</v>
      </c>
      <c r="D865" s="19" t="s">
        <v>10</v>
      </c>
      <c r="E865" s="19" t="s">
        <v>22</v>
      </c>
      <c r="F865" s="19" t="s">
        <v>15</v>
      </c>
      <c r="G865" s="19">
        <v>20</v>
      </c>
      <c r="H865" s="19">
        <v>800</v>
      </c>
      <c r="I865" s="24">
        <v>0.05</v>
      </c>
      <c r="J865" s="28">
        <f>Table2[[#This Row],[Quantity]]*Table2[[#This Row],[Unit_Price]]</f>
        <v>16000</v>
      </c>
      <c r="K865" s="31">
        <f t="shared" si="13"/>
        <v>15200</v>
      </c>
      <c r="L865" s="31">
        <f>Table2[[#This Row],[gross sales]]-Table2[[#This Row],[net sale]]</f>
        <v>800</v>
      </c>
      <c r="M865" s="37" t="str">
        <f>TEXT(B865,"mmm")</f>
        <v>May</v>
      </c>
    </row>
    <row r="866" spans="1:13">
      <c r="A866" s="16">
        <v>1865</v>
      </c>
      <c r="B866" s="15">
        <v>45952</v>
      </c>
      <c r="C866" s="16" t="s">
        <v>16</v>
      </c>
      <c r="D866" s="16" t="s">
        <v>10</v>
      </c>
      <c r="E866" s="16" t="s">
        <v>22</v>
      </c>
      <c r="F866" s="16" t="s">
        <v>24</v>
      </c>
      <c r="G866" s="16">
        <v>9</v>
      </c>
      <c r="H866" s="17">
        <v>55000</v>
      </c>
      <c r="I866" s="23">
        <v>0.05</v>
      </c>
      <c r="J866" s="28">
        <f>Table2[[#This Row],[Quantity]]*Table2[[#This Row],[Unit_Price]]</f>
        <v>495000</v>
      </c>
      <c r="K866" s="31">
        <f t="shared" si="13"/>
        <v>470250</v>
      </c>
      <c r="L866" s="31">
        <f>Table2[[#This Row],[gross sales]]-Table2[[#This Row],[net sale]]</f>
        <v>24750</v>
      </c>
      <c r="M866" s="36" t="str">
        <f>TEXT(B866,"mmm")</f>
        <v>Oct</v>
      </c>
    </row>
    <row r="867" spans="1:13">
      <c r="A867" s="19">
        <v>1866</v>
      </c>
      <c r="B867" s="18">
        <v>45944</v>
      </c>
      <c r="C867" s="19" t="s">
        <v>9</v>
      </c>
      <c r="D867" s="19" t="s">
        <v>10</v>
      </c>
      <c r="E867" s="19" t="s">
        <v>11</v>
      </c>
      <c r="F867" s="19" t="s">
        <v>24</v>
      </c>
      <c r="G867" s="19">
        <v>17</v>
      </c>
      <c r="H867" s="20">
        <v>18000</v>
      </c>
      <c r="I867" s="24">
        <v>0.08</v>
      </c>
      <c r="J867" s="28">
        <f>Table2[[#This Row],[Quantity]]*Table2[[#This Row],[Unit_Price]]</f>
        <v>306000</v>
      </c>
      <c r="K867" s="31">
        <f t="shared" si="13"/>
        <v>281520</v>
      </c>
      <c r="L867" s="31">
        <f>Table2[[#This Row],[gross sales]]-Table2[[#This Row],[net sale]]</f>
        <v>24480</v>
      </c>
      <c r="M867" s="37" t="str">
        <f>TEXT(B867,"mmm")</f>
        <v>Oct</v>
      </c>
    </row>
    <row r="868" spans="1:13">
      <c r="A868" s="16">
        <v>1867</v>
      </c>
      <c r="B868" s="15">
        <v>45920</v>
      </c>
      <c r="C868" s="16" t="s">
        <v>21</v>
      </c>
      <c r="D868" s="16" t="s">
        <v>10</v>
      </c>
      <c r="E868" s="16" t="s">
        <v>11</v>
      </c>
      <c r="F868" s="16" t="s">
        <v>20</v>
      </c>
      <c r="G868" s="16">
        <v>18</v>
      </c>
      <c r="H868" s="17">
        <v>14000</v>
      </c>
      <c r="I868" s="23">
        <v>0.12</v>
      </c>
      <c r="J868" s="28">
        <f>Table2[[#This Row],[Quantity]]*Table2[[#This Row],[Unit_Price]]</f>
        <v>252000</v>
      </c>
      <c r="K868" s="31">
        <f t="shared" si="13"/>
        <v>221760</v>
      </c>
      <c r="L868" s="31">
        <f>Table2[[#This Row],[gross sales]]-Table2[[#This Row],[net sale]]</f>
        <v>30240</v>
      </c>
      <c r="M868" s="36" t="str">
        <f>TEXT(B868,"mmm")</f>
        <v>Sep</v>
      </c>
    </row>
    <row r="869" spans="1:13">
      <c r="A869" s="19">
        <v>1868</v>
      </c>
      <c r="B869" s="18">
        <v>45851</v>
      </c>
      <c r="C869" s="19" t="s">
        <v>28</v>
      </c>
      <c r="D869" s="19" t="s">
        <v>26</v>
      </c>
      <c r="E869" s="19" t="s">
        <v>11</v>
      </c>
      <c r="F869" s="19" t="s">
        <v>20</v>
      </c>
      <c r="G869" s="19">
        <v>16</v>
      </c>
      <c r="H869" s="20">
        <v>9000</v>
      </c>
      <c r="I869" s="24">
        <v>0.05</v>
      </c>
      <c r="J869" s="28">
        <f>Table2[[#This Row],[Quantity]]*Table2[[#This Row],[Unit_Price]]</f>
        <v>144000</v>
      </c>
      <c r="K869" s="31">
        <f t="shared" si="13"/>
        <v>136800</v>
      </c>
      <c r="L869" s="31">
        <f>Table2[[#This Row],[gross sales]]-Table2[[#This Row],[net sale]]</f>
        <v>7200</v>
      </c>
      <c r="M869" s="37" t="str">
        <f>TEXT(B869,"mmm")</f>
        <v>Jul</v>
      </c>
    </row>
    <row r="870" spans="1:13">
      <c r="A870" s="16">
        <v>1869</v>
      </c>
      <c r="B870" s="15">
        <v>46006</v>
      </c>
      <c r="C870" s="16" t="s">
        <v>34</v>
      </c>
      <c r="D870" s="16" t="s">
        <v>26</v>
      </c>
      <c r="E870" s="16" t="s">
        <v>22</v>
      </c>
      <c r="F870" s="16" t="s">
        <v>24</v>
      </c>
      <c r="G870" s="16">
        <v>19</v>
      </c>
      <c r="H870" s="17">
        <v>15000</v>
      </c>
      <c r="I870" s="23">
        <v>0</v>
      </c>
      <c r="J870" s="28">
        <f>Table2[[#This Row],[Quantity]]*Table2[[#This Row],[Unit_Price]]</f>
        <v>285000</v>
      </c>
      <c r="K870" s="31">
        <f t="shared" si="13"/>
        <v>285000</v>
      </c>
      <c r="L870" s="31">
        <f>Table2[[#This Row],[gross sales]]-Table2[[#This Row],[net sale]]</f>
        <v>0</v>
      </c>
      <c r="M870" s="36" t="str">
        <f>TEXT(B870,"mmm")</f>
        <v>Dec</v>
      </c>
    </row>
    <row r="871" spans="1:13">
      <c r="A871" s="19">
        <v>1870</v>
      </c>
      <c r="B871" s="18">
        <v>45790</v>
      </c>
      <c r="C871" s="19" t="s">
        <v>9</v>
      </c>
      <c r="D871" s="19" t="s">
        <v>10</v>
      </c>
      <c r="E871" s="19" t="s">
        <v>17</v>
      </c>
      <c r="F871" s="19" t="s">
        <v>12</v>
      </c>
      <c r="G871" s="19">
        <v>13</v>
      </c>
      <c r="H871" s="20">
        <v>18000</v>
      </c>
      <c r="I871" s="24">
        <v>0.15</v>
      </c>
      <c r="J871" s="28">
        <f>Table2[[#This Row],[Quantity]]*Table2[[#This Row],[Unit_Price]]</f>
        <v>234000</v>
      </c>
      <c r="K871" s="31">
        <f t="shared" si="13"/>
        <v>198900</v>
      </c>
      <c r="L871" s="31">
        <f>Table2[[#This Row],[gross sales]]-Table2[[#This Row],[net sale]]</f>
        <v>35100</v>
      </c>
      <c r="M871" s="37" t="str">
        <f>TEXT(B871,"mmm")</f>
        <v>May</v>
      </c>
    </row>
    <row r="872" spans="1:13">
      <c r="A872" s="16">
        <v>1871</v>
      </c>
      <c r="B872" s="15">
        <v>45819</v>
      </c>
      <c r="C872" s="16" t="s">
        <v>31</v>
      </c>
      <c r="D872" s="16" t="s">
        <v>26</v>
      </c>
      <c r="E872" s="16" t="s">
        <v>14</v>
      </c>
      <c r="F872" s="16" t="s">
        <v>27</v>
      </c>
      <c r="G872" s="16">
        <v>12</v>
      </c>
      <c r="H872" s="17">
        <v>8500</v>
      </c>
      <c r="I872" s="23">
        <v>0.12</v>
      </c>
      <c r="J872" s="28">
        <f>Table2[[#This Row],[Quantity]]*Table2[[#This Row],[Unit_Price]]</f>
        <v>102000</v>
      </c>
      <c r="K872" s="31">
        <f t="shared" si="13"/>
        <v>89760</v>
      </c>
      <c r="L872" s="31">
        <f>Table2[[#This Row],[gross sales]]-Table2[[#This Row],[net sale]]</f>
        <v>12240</v>
      </c>
      <c r="M872" s="36" t="str">
        <f>TEXT(B872,"mmm")</f>
        <v>Jun</v>
      </c>
    </row>
    <row r="873" spans="1:13">
      <c r="A873" s="19">
        <v>1872</v>
      </c>
      <c r="B873" s="18">
        <v>45785</v>
      </c>
      <c r="C873" s="19" t="s">
        <v>21</v>
      </c>
      <c r="D873" s="19" t="s">
        <v>10</v>
      </c>
      <c r="E873" s="19" t="s">
        <v>11</v>
      </c>
      <c r="F873" s="19" t="s">
        <v>24</v>
      </c>
      <c r="G873" s="19">
        <v>3</v>
      </c>
      <c r="H873" s="20">
        <v>14000</v>
      </c>
      <c r="I873" s="24">
        <v>0.1</v>
      </c>
      <c r="J873" s="28">
        <f>Table2[[#This Row],[Quantity]]*Table2[[#This Row],[Unit_Price]]</f>
        <v>42000</v>
      </c>
      <c r="K873" s="31">
        <f t="shared" si="13"/>
        <v>37800</v>
      </c>
      <c r="L873" s="31">
        <f>Table2[[#This Row],[gross sales]]-Table2[[#This Row],[net sale]]</f>
        <v>4200</v>
      </c>
      <c r="M873" s="37" t="str">
        <f>TEXT(B873,"mmm")</f>
        <v>May</v>
      </c>
    </row>
    <row r="874" spans="1:13">
      <c r="A874" s="16">
        <v>1873</v>
      </c>
      <c r="B874" s="15">
        <v>45941</v>
      </c>
      <c r="C874" s="16" t="s">
        <v>37</v>
      </c>
      <c r="D874" s="16" t="s">
        <v>36</v>
      </c>
      <c r="E874" s="16" t="s">
        <v>11</v>
      </c>
      <c r="F874" s="16" t="s">
        <v>23</v>
      </c>
      <c r="G874" s="16">
        <v>6</v>
      </c>
      <c r="H874" s="17">
        <v>1800</v>
      </c>
      <c r="I874" s="23">
        <v>0.1</v>
      </c>
      <c r="J874" s="28">
        <f>Table2[[#This Row],[Quantity]]*Table2[[#This Row],[Unit_Price]]</f>
        <v>10800</v>
      </c>
      <c r="K874" s="31">
        <f t="shared" si="13"/>
        <v>9720</v>
      </c>
      <c r="L874" s="31">
        <f>Table2[[#This Row],[gross sales]]-Table2[[#This Row],[net sale]]</f>
        <v>1080</v>
      </c>
      <c r="M874" s="36" t="str">
        <f>TEXT(B874,"mmm")</f>
        <v>Oct</v>
      </c>
    </row>
    <row r="875" spans="1:13">
      <c r="A875" s="19">
        <v>1874</v>
      </c>
      <c r="B875" s="18">
        <v>45769</v>
      </c>
      <c r="C875" s="19" t="s">
        <v>37</v>
      </c>
      <c r="D875" s="19" t="s">
        <v>36</v>
      </c>
      <c r="E875" s="19" t="s">
        <v>17</v>
      </c>
      <c r="F875" s="19" t="s">
        <v>12</v>
      </c>
      <c r="G875" s="19">
        <v>19</v>
      </c>
      <c r="H875" s="20">
        <v>1800</v>
      </c>
      <c r="I875" s="24">
        <v>0.08</v>
      </c>
      <c r="J875" s="28">
        <f>Table2[[#This Row],[Quantity]]*Table2[[#This Row],[Unit_Price]]</f>
        <v>34200</v>
      </c>
      <c r="K875" s="31">
        <f t="shared" si="13"/>
        <v>31464</v>
      </c>
      <c r="L875" s="31">
        <f>Table2[[#This Row],[gross sales]]-Table2[[#This Row],[net sale]]</f>
        <v>2736</v>
      </c>
      <c r="M875" s="37" t="str">
        <f>TEXT(B875,"mmm")</f>
        <v>Apr</v>
      </c>
    </row>
    <row r="876" spans="1:13">
      <c r="A876" s="16">
        <v>1875</v>
      </c>
      <c r="B876" s="15">
        <v>45913</v>
      </c>
      <c r="C876" s="16" t="s">
        <v>39</v>
      </c>
      <c r="D876" s="16" t="s">
        <v>30</v>
      </c>
      <c r="E876" s="16" t="s">
        <v>17</v>
      </c>
      <c r="F876" s="16" t="s">
        <v>27</v>
      </c>
      <c r="G876" s="16">
        <v>7</v>
      </c>
      <c r="H876" s="16">
        <v>180</v>
      </c>
      <c r="I876" s="23">
        <v>0.05</v>
      </c>
      <c r="J876" s="28">
        <f>Table2[[#This Row],[Quantity]]*Table2[[#This Row],[Unit_Price]]</f>
        <v>1260</v>
      </c>
      <c r="K876" s="31">
        <f t="shared" si="13"/>
        <v>1197</v>
      </c>
      <c r="L876" s="31">
        <f>Table2[[#This Row],[gross sales]]-Table2[[#This Row],[net sale]]</f>
        <v>63</v>
      </c>
      <c r="M876" s="36" t="str">
        <f>TEXT(B876,"mmm")</f>
        <v>Sep</v>
      </c>
    </row>
    <row r="877" spans="1:13">
      <c r="A877" s="19">
        <v>1876</v>
      </c>
      <c r="B877" s="18">
        <v>45763</v>
      </c>
      <c r="C877" s="19" t="s">
        <v>19</v>
      </c>
      <c r="D877" s="19" t="s">
        <v>10</v>
      </c>
      <c r="E877" s="19" t="s">
        <v>11</v>
      </c>
      <c r="F877" s="19" t="s">
        <v>32</v>
      </c>
      <c r="G877" s="19">
        <v>7</v>
      </c>
      <c r="H877" s="19">
        <v>800</v>
      </c>
      <c r="I877" s="24">
        <v>0.05</v>
      </c>
      <c r="J877" s="28">
        <f>Table2[[#This Row],[Quantity]]*Table2[[#This Row],[Unit_Price]]</f>
        <v>5600</v>
      </c>
      <c r="K877" s="31">
        <f t="shared" si="13"/>
        <v>5320</v>
      </c>
      <c r="L877" s="31">
        <f>Table2[[#This Row],[gross sales]]-Table2[[#This Row],[net sale]]</f>
        <v>280</v>
      </c>
      <c r="M877" s="37" t="str">
        <f>TEXT(B877,"mmm")</f>
        <v>Apr</v>
      </c>
    </row>
    <row r="878" spans="1:13">
      <c r="A878" s="16">
        <v>1877</v>
      </c>
      <c r="B878" s="15">
        <v>45712</v>
      </c>
      <c r="C878" s="16" t="s">
        <v>9</v>
      </c>
      <c r="D878" s="16" t="s">
        <v>10</v>
      </c>
      <c r="E878" s="16" t="s">
        <v>22</v>
      </c>
      <c r="F878" s="16" t="s">
        <v>18</v>
      </c>
      <c r="G878" s="16">
        <v>3</v>
      </c>
      <c r="H878" s="17">
        <v>18000</v>
      </c>
      <c r="I878" s="23">
        <v>0.15</v>
      </c>
      <c r="J878" s="28">
        <f>Table2[[#This Row],[Quantity]]*Table2[[#This Row],[Unit_Price]]</f>
        <v>54000</v>
      </c>
      <c r="K878" s="31">
        <f t="shared" si="13"/>
        <v>45900</v>
      </c>
      <c r="L878" s="31">
        <f>Table2[[#This Row],[gross sales]]-Table2[[#This Row],[net sale]]</f>
        <v>8100</v>
      </c>
      <c r="M878" s="36" t="str">
        <f>TEXT(B878,"mmm")</f>
        <v>Feb</v>
      </c>
    </row>
    <row r="879" spans="1:13">
      <c r="A879" s="19">
        <v>1878</v>
      </c>
      <c r="B879" s="18">
        <v>45935</v>
      </c>
      <c r="C879" s="19" t="s">
        <v>16</v>
      </c>
      <c r="D879" s="19" t="s">
        <v>10</v>
      </c>
      <c r="E879" s="19" t="s">
        <v>11</v>
      </c>
      <c r="F879" s="19" t="s">
        <v>20</v>
      </c>
      <c r="G879" s="19">
        <v>16</v>
      </c>
      <c r="H879" s="20">
        <v>55000</v>
      </c>
      <c r="I879" s="24">
        <v>0.08</v>
      </c>
      <c r="J879" s="28">
        <f>Table2[[#This Row],[Quantity]]*Table2[[#This Row],[Unit_Price]]</f>
        <v>880000</v>
      </c>
      <c r="K879" s="31">
        <f t="shared" si="13"/>
        <v>809600</v>
      </c>
      <c r="L879" s="31">
        <f>Table2[[#This Row],[gross sales]]-Table2[[#This Row],[net sale]]</f>
        <v>70400</v>
      </c>
      <c r="M879" s="37" t="str">
        <f>TEXT(B879,"mmm")</f>
        <v>Oct</v>
      </c>
    </row>
    <row r="880" spans="1:13">
      <c r="A880" s="16">
        <v>1879</v>
      </c>
      <c r="B880" s="15">
        <v>45952</v>
      </c>
      <c r="C880" s="16" t="s">
        <v>38</v>
      </c>
      <c r="D880" s="16" t="s">
        <v>10</v>
      </c>
      <c r="E880" s="16" t="s">
        <v>17</v>
      </c>
      <c r="F880" s="16" t="s">
        <v>27</v>
      </c>
      <c r="G880" s="16">
        <v>9</v>
      </c>
      <c r="H880" s="17">
        <v>42000</v>
      </c>
      <c r="I880" s="23">
        <v>0.1</v>
      </c>
      <c r="J880" s="28">
        <f>Table2[[#This Row],[Quantity]]*Table2[[#This Row],[Unit_Price]]</f>
        <v>378000</v>
      </c>
      <c r="K880" s="31">
        <f t="shared" si="13"/>
        <v>340200</v>
      </c>
      <c r="L880" s="31">
        <f>Table2[[#This Row],[gross sales]]-Table2[[#This Row],[net sale]]</f>
        <v>37800</v>
      </c>
      <c r="M880" s="36" t="str">
        <f>TEXT(B880,"mmm")</f>
        <v>Oct</v>
      </c>
    </row>
    <row r="881" spans="1:13">
      <c r="A881" s="19">
        <v>1880</v>
      </c>
      <c r="B881" s="18">
        <v>45861</v>
      </c>
      <c r="C881" s="19" t="s">
        <v>19</v>
      </c>
      <c r="D881" s="19" t="s">
        <v>10</v>
      </c>
      <c r="E881" s="19" t="s">
        <v>14</v>
      </c>
      <c r="F881" s="19" t="s">
        <v>15</v>
      </c>
      <c r="G881" s="19">
        <v>19</v>
      </c>
      <c r="H881" s="19">
        <v>800</v>
      </c>
      <c r="I881" s="24">
        <v>0.05</v>
      </c>
      <c r="J881" s="28">
        <f>Table2[[#This Row],[Quantity]]*Table2[[#This Row],[Unit_Price]]</f>
        <v>15200</v>
      </c>
      <c r="K881" s="31">
        <f t="shared" si="13"/>
        <v>14440</v>
      </c>
      <c r="L881" s="31">
        <f>Table2[[#This Row],[gross sales]]-Table2[[#This Row],[net sale]]</f>
        <v>760</v>
      </c>
      <c r="M881" s="37" t="str">
        <f>TEXT(B881,"mmm")</f>
        <v>Jul</v>
      </c>
    </row>
    <row r="882" spans="1:13">
      <c r="A882" s="16">
        <v>1881</v>
      </c>
      <c r="B882" s="15">
        <v>45902</v>
      </c>
      <c r="C882" s="16" t="s">
        <v>25</v>
      </c>
      <c r="D882" s="16" t="s">
        <v>26</v>
      </c>
      <c r="E882" s="16" t="s">
        <v>11</v>
      </c>
      <c r="F882" s="16" t="s">
        <v>15</v>
      </c>
      <c r="G882" s="16">
        <v>2</v>
      </c>
      <c r="H882" s="17">
        <v>11000</v>
      </c>
      <c r="I882" s="23">
        <v>0.12</v>
      </c>
      <c r="J882" s="28">
        <f>Table2[[#This Row],[Quantity]]*Table2[[#This Row],[Unit_Price]]</f>
        <v>22000</v>
      </c>
      <c r="K882" s="31">
        <f t="shared" si="13"/>
        <v>19360</v>
      </c>
      <c r="L882" s="31">
        <f>Table2[[#This Row],[gross sales]]-Table2[[#This Row],[net sale]]</f>
        <v>2640</v>
      </c>
      <c r="M882" s="36" t="str">
        <f>TEXT(B882,"mmm")</f>
        <v>Sep</v>
      </c>
    </row>
    <row r="883" spans="1:13">
      <c r="A883" s="19">
        <v>1882</v>
      </c>
      <c r="B883" s="18">
        <v>46009</v>
      </c>
      <c r="C883" s="19" t="s">
        <v>35</v>
      </c>
      <c r="D883" s="19" t="s">
        <v>36</v>
      </c>
      <c r="E883" s="19" t="s">
        <v>14</v>
      </c>
      <c r="F883" s="19" t="s">
        <v>20</v>
      </c>
      <c r="G883" s="19">
        <v>6</v>
      </c>
      <c r="H883" s="20">
        <v>3500</v>
      </c>
      <c r="I883" s="24">
        <v>0.1</v>
      </c>
      <c r="J883" s="28">
        <f>Table2[[#This Row],[Quantity]]*Table2[[#This Row],[Unit_Price]]</f>
        <v>21000</v>
      </c>
      <c r="K883" s="31">
        <f t="shared" si="13"/>
        <v>18900</v>
      </c>
      <c r="L883" s="31">
        <f>Table2[[#This Row],[gross sales]]-Table2[[#This Row],[net sale]]</f>
        <v>2100</v>
      </c>
      <c r="M883" s="37" t="str">
        <f>TEXT(B883,"mmm")</f>
        <v>Dec</v>
      </c>
    </row>
    <row r="884" spans="1:13">
      <c r="A884" s="16">
        <v>1883</v>
      </c>
      <c r="B884" s="15">
        <v>45819</v>
      </c>
      <c r="C884" s="16" t="s">
        <v>39</v>
      </c>
      <c r="D884" s="16" t="s">
        <v>30</v>
      </c>
      <c r="E884" s="16" t="s">
        <v>17</v>
      </c>
      <c r="F884" s="16" t="s">
        <v>15</v>
      </c>
      <c r="G884" s="16">
        <v>1</v>
      </c>
      <c r="H884" s="16">
        <v>180</v>
      </c>
      <c r="I884" s="23">
        <v>0</v>
      </c>
      <c r="J884" s="28">
        <f>Table2[[#This Row],[Quantity]]*Table2[[#This Row],[Unit_Price]]</f>
        <v>180</v>
      </c>
      <c r="K884" s="31">
        <f t="shared" si="13"/>
        <v>180</v>
      </c>
      <c r="L884" s="31">
        <f>Table2[[#This Row],[gross sales]]-Table2[[#This Row],[net sale]]</f>
        <v>0</v>
      </c>
      <c r="M884" s="36" t="str">
        <f>TEXT(B884,"mmm")</f>
        <v>Jun</v>
      </c>
    </row>
    <row r="885" spans="1:13">
      <c r="A885" s="19">
        <v>1884</v>
      </c>
      <c r="B885" s="18">
        <v>45955</v>
      </c>
      <c r="C885" s="19" t="s">
        <v>9</v>
      </c>
      <c r="D885" s="19" t="s">
        <v>10</v>
      </c>
      <c r="E885" s="19" t="s">
        <v>11</v>
      </c>
      <c r="F885" s="19" t="s">
        <v>32</v>
      </c>
      <c r="G885" s="19">
        <v>11</v>
      </c>
      <c r="H885" s="20">
        <v>18000</v>
      </c>
      <c r="I885" s="24">
        <v>0.08</v>
      </c>
      <c r="J885" s="28">
        <f>Table2[[#This Row],[Quantity]]*Table2[[#This Row],[Unit_Price]]</f>
        <v>198000</v>
      </c>
      <c r="K885" s="31">
        <f t="shared" si="13"/>
        <v>182160</v>
      </c>
      <c r="L885" s="31">
        <f>Table2[[#This Row],[gross sales]]-Table2[[#This Row],[net sale]]</f>
        <v>15840</v>
      </c>
      <c r="M885" s="37" t="str">
        <f>TEXT(B885,"mmm")</f>
        <v>Oct</v>
      </c>
    </row>
    <row r="886" spans="1:13">
      <c r="A886" s="16">
        <v>1885</v>
      </c>
      <c r="B886" s="15">
        <v>45938</v>
      </c>
      <c r="C886" s="16" t="s">
        <v>21</v>
      </c>
      <c r="D886" s="16" t="s">
        <v>10</v>
      </c>
      <c r="E886" s="16" t="s">
        <v>22</v>
      </c>
      <c r="F886" s="16" t="s">
        <v>23</v>
      </c>
      <c r="G886" s="16">
        <v>8</v>
      </c>
      <c r="H886" s="17">
        <v>14000</v>
      </c>
      <c r="I886" s="23">
        <v>0.08</v>
      </c>
      <c r="J886" s="28">
        <f>Table2[[#This Row],[Quantity]]*Table2[[#This Row],[Unit_Price]]</f>
        <v>112000</v>
      </c>
      <c r="K886" s="31">
        <f t="shared" si="13"/>
        <v>103040</v>
      </c>
      <c r="L886" s="31">
        <f>Table2[[#This Row],[gross sales]]-Table2[[#This Row],[net sale]]</f>
        <v>8960</v>
      </c>
      <c r="M886" s="36" t="str">
        <f>TEXT(B886,"mmm")</f>
        <v>Oct</v>
      </c>
    </row>
    <row r="887" spans="1:13">
      <c r="A887" s="19">
        <v>1886</v>
      </c>
      <c r="B887" s="18">
        <v>45845</v>
      </c>
      <c r="C887" s="19" t="s">
        <v>13</v>
      </c>
      <c r="D887" s="19" t="s">
        <v>10</v>
      </c>
      <c r="E887" s="19" t="s">
        <v>17</v>
      </c>
      <c r="F887" s="19" t="s">
        <v>15</v>
      </c>
      <c r="G887" s="19">
        <v>16</v>
      </c>
      <c r="H887" s="20">
        <v>1200</v>
      </c>
      <c r="I887" s="24">
        <v>0.1</v>
      </c>
      <c r="J887" s="28">
        <f>Table2[[#This Row],[Quantity]]*Table2[[#This Row],[Unit_Price]]</f>
        <v>19200</v>
      </c>
      <c r="K887" s="31">
        <f t="shared" si="13"/>
        <v>17280</v>
      </c>
      <c r="L887" s="31">
        <f>Table2[[#This Row],[gross sales]]-Table2[[#This Row],[net sale]]</f>
        <v>1920</v>
      </c>
      <c r="M887" s="37" t="str">
        <f>TEXT(B887,"mmm")</f>
        <v>Jul</v>
      </c>
    </row>
    <row r="888" spans="1:13">
      <c r="A888" s="16">
        <v>1887</v>
      </c>
      <c r="B888" s="15">
        <v>46016</v>
      </c>
      <c r="C888" s="16" t="s">
        <v>35</v>
      </c>
      <c r="D888" s="16" t="s">
        <v>36</v>
      </c>
      <c r="E888" s="16" t="s">
        <v>22</v>
      </c>
      <c r="F888" s="16" t="s">
        <v>27</v>
      </c>
      <c r="G888" s="16">
        <v>12</v>
      </c>
      <c r="H888" s="17">
        <v>3500</v>
      </c>
      <c r="I888" s="23">
        <v>0.08</v>
      </c>
      <c r="J888" s="28">
        <f>Table2[[#This Row],[Quantity]]*Table2[[#This Row],[Unit_Price]]</f>
        <v>42000</v>
      </c>
      <c r="K888" s="31">
        <f t="shared" si="13"/>
        <v>38640</v>
      </c>
      <c r="L888" s="31">
        <f>Table2[[#This Row],[gross sales]]-Table2[[#This Row],[net sale]]</f>
        <v>3360</v>
      </c>
      <c r="M888" s="36" t="str">
        <f>TEXT(B888,"mmm")</f>
        <v>Dec</v>
      </c>
    </row>
    <row r="889" spans="1:13">
      <c r="A889" s="19">
        <v>1888</v>
      </c>
      <c r="B889" s="18">
        <v>45888</v>
      </c>
      <c r="C889" s="19" t="s">
        <v>13</v>
      </c>
      <c r="D889" s="19" t="s">
        <v>10</v>
      </c>
      <c r="E889" s="19" t="s">
        <v>17</v>
      </c>
      <c r="F889" s="19" t="s">
        <v>24</v>
      </c>
      <c r="G889" s="19">
        <v>19</v>
      </c>
      <c r="H889" s="20">
        <v>1200</v>
      </c>
      <c r="I889" s="24">
        <v>0.05</v>
      </c>
      <c r="J889" s="28">
        <f>Table2[[#This Row],[Quantity]]*Table2[[#This Row],[Unit_Price]]</f>
        <v>22800</v>
      </c>
      <c r="K889" s="31">
        <f t="shared" si="13"/>
        <v>21660</v>
      </c>
      <c r="L889" s="31">
        <f>Table2[[#This Row],[gross sales]]-Table2[[#This Row],[net sale]]</f>
        <v>1140</v>
      </c>
      <c r="M889" s="37" t="str">
        <f>TEXT(B889,"mmm")</f>
        <v>Aug</v>
      </c>
    </row>
    <row r="890" spans="1:13">
      <c r="A890" s="16">
        <v>1889</v>
      </c>
      <c r="B890" s="15">
        <v>45796</v>
      </c>
      <c r="C890" s="16" t="s">
        <v>35</v>
      </c>
      <c r="D890" s="16" t="s">
        <v>36</v>
      </c>
      <c r="E890" s="16" t="s">
        <v>22</v>
      </c>
      <c r="F890" s="16" t="s">
        <v>15</v>
      </c>
      <c r="G890" s="16">
        <v>8</v>
      </c>
      <c r="H890" s="17">
        <v>3500</v>
      </c>
      <c r="I890" s="23">
        <v>0.12</v>
      </c>
      <c r="J890" s="28">
        <f>Table2[[#This Row],[Quantity]]*Table2[[#This Row],[Unit_Price]]</f>
        <v>28000</v>
      </c>
      <c r="K890" s="31">
        <f t="shared" si="13"/>
        <v>24640</v>
      </c>
      <c r="L890" s="31">
        <f>Table2[[#This Row],[gross sales]]-Table2[[#This Row],[net sale]]</f>
        <v>3360</v>
      </c>
      <c r="M890" s="36" t="str">
        <f>TEXT(B890,"mmm")</f>
        <v>May</v>
      </c>
    </row>
    <row r="891" spans="1:13">
      <c r="A891" s="19">
        <v>1890</v>
      </c>
      <c r="B891" s="18">
        <v>45758</v>
      </c>
      <c r="C891" s="19" t="s">
        <v>13</v>
      </c>
      <c r="D891" s="19" t="s">
        <v>10</v>
      </c>
      <c r="E891" s="19" t="s">
        <v>14</v>
      </c>
      <c r="F891" s="19" t="s">
        <v>32</v>
      </c>
      <c r="G891" s="19">
        <v>5</v>
      </c>
      <c r="H891" s="20">
        <v>1200</v>
      </c>
      <c r="I891" s="24">
        <v>0.1</v>
      </c>
      <c r="J891" s="28">
        <f>Table2[[#This Row],[Quantity]]*Table2[[#This Row],[Unit_Price]]</f>
        <v>6000</v>
      </c>
      <c r="K891" s="31">
        <f t="shared" si="13"/>
        <v>5400</v>
      </c>
      <c r="L891" s="31">
        <f>Table2[[#This Row],[gross sales]]-Table2[[#This Row],[net sale]]</f>
        <v>600</v>
      </c>
      <c r="M891" s="37" t="str">
        <f>TEXT(B891,"mmm")</f>
        <v>Apr</v>
      </c>
    </row>
    <row r="892" spans="1:13">
      <c r="A892" s="16">
        <v>1891</v>
      </c>
      <c r="B892" s="15">
        <v>45873</v>
      </c>
      <c r="C892" s="16" t="s">
        <v>34</v>
      </c>
      <c r="D892" s="16" t="s">
        <v>26</v>
      </c>
      <c r="E892" s="16" t="s">
        <v>11</v>
      </c>
      <c r="F892" s="16" t="s">
        <v>20</v>
      </c>
      <c r="G892" s="16">
        <v>5</v>
      </c>
      <c r="H892" s="17">
        <v>15000</v>
      </c>
      <c r="I892" s="23">
        <v>0.15</v>
      </c>
      <c r="J892" s="28">
        <f>Table2[[#This Row],[Quantity]]*Table2[[#This Row],[Unit_Price]]</f>
        <v>75000</v>
      </c>
      <c r="K892" s="31">
        <f t="shared" si="13"/>
        <v>63750</v>
      </c>
      <c r="L892" s="31">
        <f>Table2[[#This Row],[gross sales]]-Table2[[#This Row],[net sale]]</f>
        <v>11250</v>
      </c>
      <c r="M892" s="36" t="str">
        <f>TEXT(B892,"mmm")</f>
        <v>Aug</v>
      </c>
    </row>
    <row r="893" spans="1:13">
      <c r="A893" s="19">
        <v>1892</v>
      </c>
      <c r="B893" s="18">
        <v>45811</v>
      </c>
      <c r="C893" s="19" t="s">
        <v>21</v>
      </c>
      <c r="D893" s="19" t="s">
        <v>10</v>
      </c>
      <c r="E893" s="19" t="s">
        <v>14</v>
      </c>
      <c r="F893" s="19" t="s">
        <v>15</v>
      </c>
      <c r="G893" s="19">
        <v>18</v>
      </c>
      <c r="H893" s="20">
        <v>14000</v>
      </c>
      <c r="I893" s="24">
        <v>0.12</v>
      </c>
      <c r="J893" s="28">
        <f>Table2[[#This Row],[Quantity]]*Table2[[#This Row],[Unit_Price]]</f>
        <v>252000</v>
      </c>
      <c r="K893" s="31">
        <f t="shared" si="13"/>
        <v>221760</v>
      </c>
      <c r="L893" s="31">
        <f>Table2[[#This Row],[gross sales]]-Table2[[#This Row],[net sale]]</f>
        <v>30240</v>
      </c>
      <c r="M893" s="37" t="str">
        <f>TEXT(B893,"mmm")</f>
        <v>Jun</v>
      </c>
    </row>
    <row r="894" spans="1:13">
      <c r="A894" s="16">
        <v>1893</v>
      </c>
      <c r="B894" s="15">
        <v>45708</v>
      </c>
      <c r="C894" s="16" t="s">
        <v>39</v>
      </c>
      <c r="D894" s="16" t="s">
        <v>30</v>
      </c>
      <c r="E894" s="16" t="s">
        <v>17</v>
      </c>
      <c r="F894" s="16" t="s">
        <v>27</v>
      </c>
      <c r="G894" s="16">
        <v>6</v>
      </c>
      <c r="H894" s="16">
        <v>180</v>
      </c>
      <c r="I894" s="23">
        <v>0</v>
      </c>
      <c r="J894" s="28">
        <f>Table2[[#This Row],[Quantity]]*Table2[[#This Row],[Unit_Price]]</f>
        <v>1080</v>
      </c>
      <c r="K894" s="31">
        <f t="shared" si="13"/>
        <v>1080</v>
      </c>
      <c r="L894" s="31">
        <f>Table2[[#This Row],[gross sales]]-Table2[[#This Row],[net sale]]</f>
        <v>0</v>
      </c>
      <c r="M894" s="36" t="str">
        <f>TEXT(B894,"mmm")</f>
        <v>Feb</v>
      </c>
    </row>
    <row r="895" spans="1:13">
      <c r="A895" s="19">
        <v>1894</v>
      </c>
      <c r="B895" s="18">
        <v>45901</v>
      </c>
      <c r="C895" s="19" t="s">
        <v>38</v>
      </c>
      <c r="D895" s="19" t="s">
        <v>10</v>
      </c>
      <c r="E895" s="19" t="s">
        <v>11</v>
      </c>
      <c r="F895" s="19" t="s">
        <v>27</v>
      </c>
      <c r="G895" s="19">
        <v>4</v>
      </c>
      <c r="H895" s="20">
        <v>42000</v>
      </c>
      <c r="I895" s="24">
        <v>0.1</v>
      </c>
      <c r="J895" s="28">
        <f>Table2[[#This Row],[Quantity]]*Table2[[#This Row],[Unit_Price]]</f>
        <v>168000</v>
      </c>
      <c r="K895" s="31">
        <f t="shared" si="13"/>
        <v>151200</v>
      </c>
      <c r="L895" s="31">
        <f>Table2[[#This Row],[gross sales]]-Table2[[#This Row],[net sale]]</f>
        <v>16800</v>
      </c>
      <c r="M895" s="37" t="str">
        <f>TEXT(B895,"mmm")</f>
        <v>Sep</v>
      </c>
    </row>
    <row r="896" spans="1:13">
      <c r="A896" s="16">
        <v>1895</v>
      </c>
      <c r="B896" s="15">
        <v>45842</v>
      </c>
      <c r="C896" s="16" t="s">
        <v>33</v>
      </c>
      <c r="D896" s="16" t="s">
        <v>10</v>
      </c>
      <c r="E896" s="16" t="s">
        <v>11</v>
      </c>
      <c r="F896" s="16" t="s">
        <v>23</v>
      </c>
      <c r="G896" s="16">
        <v>18</v>
      </c>
      <c r="H896" s="17">
        <v>2500</v>
      </c>
      <c r="I896" s="23">
        <v>0.12</v>
      </c>
      <c r="J896" s="28">
        <f>Table2[[#This Row],[Quantity]]*Table2[[#This Row],[Unit_Price]]</f>
        <v>45000</v>
      </c>
      <c r="K896" s="31">
        <f t="shared" si="13"/>
        <v>39600</v>
      </c>
      <c r="L896" s="31">
        <f>Table2[[#This Row],[gross sales]]-Table2[[#This Row],[net sale]]</f>
        <v>5400</v>
      </c>
      <c r="M896" s="36" t="str">
        <f>TEXT(B896,"mmm")</f>
        <v>Jul</v>
      </c>
    </row>
    <row r="897" spans="1:13">
      <c r="A897" s="19">
        <v>1896</v>
      </c>
      <c r="B897" s="18">
        <v>45668</v>
      </c>
      <c r="C897" s="19" t="s">
        <v>31</v>
      </c>
      <c r="D897" s="19" t="s">
        <v>26</v>
      </c>
      <c r="E897" s="19" t="s">
        <v>17</v>
      </c>
      <c r="F897" s="19" t="s">
        <v>32</v>
      </c>
      <c r="G897" s="19">
        <v>4</v>
      </c>
      <c r="H897" s="20">
        <v>8500</v>
      </c>
      <c r="I897" s="24">
        <v>0.08</v>
      </c>
      <c r="J897" s="28">
        <f>Table2[[#This Row],[Quantity]]*Table2[[#This Row],[Unit_Price]]</f>
        <v>34000</v>
      </c>
      <c r="K897" s="31">
        <f t="shared" si="13"/>
        <v>31280</v>
      </c>
      <c r="L897" s="31">
        <f>Table2[[#This Row],[gross sales]]-Table2[[#This Row],[net sale]]</f>
        <v>2720</v>
      </c>
      <c r="M897" s="37" t="str">
        <f>TEXT(B897,"mmm")</f>
        <v>Jan</v>
      </c>
    </row>
    <row r="898" spans="1:13">
      <c r="A898" s="16">
        <v>1897</v>
      </c>
      <c r="B898" s="15">
        <v>45803</v>
      </c>
      <c r="C898" s="16" t="s">
        <v>33</v>
      </c>
      <c r="D898" s="16" t="s">
        <v>10</v>
      </c>
      <c r="E898" s="16" t="s">
        <v>22</v>
      </c>
      <c r="F898" s="16" t="s">
        <v>20</v>
      </c>
      <c r="G898" s="16">
        <v>11</v>
      </c>
      <c r="H898" s="17">
        <v>2500</v>
      </c>
      <c r="I898" s="23">
        <v>0.15</v>
      </c>
      <c r="J898" s="28">
        <f>Table2[[#This Row],[Quantity]]*Table2[[#This Row],[Unit_Price]]</f>
        <v>27500</v>
      </c>
      <c r="K898" s="31">
        <f t="shared" ref="K898:K961" si="14">J898*(1-I898)</f>
        <v>23375</v>
      </c>
      <c r="L898" s="31">
        <f>Table2[[#This Row],[gross sales]]-Table2[[#This Row],[net sale]]</f>
        <v>4125</v>
      </c>
      <c r="M898" s="36" t="str">
        <f>TEXT(B898,"mmm")</f>
        <v>May</v>
      </c>
    </row>
    <row r="899" spans="1:13">
      <c r="A899" s="19">
        <v>1898</v>
      </c>
      <c r="B899" s="18">
        <v>45698</v>
      </c>
      <c r="C899" s="19" t="s">
        <v>31</v>
      </c>
      <c r="D899" s="19" t="s">
        <v>26</v>
      </c>
      <c r="E899" s="19" t="s">
        <v>22</v>
      </c>
      <c r="F899" s="19" t="s">
        <v>32</v>
      </c>
      <c r="G899" s="19">
        <v>20</v>
      </c>
      <c r="H899" s="20">
        <v>8500</v>
      </c>
      <c r="I899" s="24">
        <v>0.08</v>
      </c>
      <c r="J899" s="28">
        <f>Table2[[#This Row],[Quantity]]*Table2[[#This Row],[Unit_Price]]</f>
        <v>170000</v>
      </c>
      <c r="K899" s="31">
        <f t="shared" si="14"/>
        <v>156400</v>
      </c>
      <c r="L899" s="31">
        <f>Table2[[#This Row],[gross sales]]-Table2[[#This Row],[net sale]]</f>
        <v>13600</v>
      </c>
      <c r="M899" s="37" t="str">
        <f>TEXT(B899,"mmm")</f>
        <v>Feb</v>
      </c>
    </row>
    <row r="900" spans="1:13">
      <c r="A900" s="16">
        <v>1899</v>
      </c>
      <c r="B900" s="15">
        <v>45743</v>
      </c>
      <c r="C900" s="16" t="s">
        <v>29</v>
      </c>
      <c r="D900" s="16" t="s">
        <v>30</v>
      </c>
      <c r="E900" s="16" t="s">
        <v>22</v>
      </c>
      <c r="F900" s="16" t="s">
        <v>24</v>
      </c>
      <c r="G900" s="16">
        <v>11</v>
      </c>
      <c r="H900" s="16">
        <v>250</v>
      </c>
      <c r="I900" s="23">
        <v>0.1</v>
      </c>
      <c r="J900" s="28">
        <f>Table2[[#This Row],[Quantity]]*Table2[[#This Row],[Unit_Price]]</f>
        <v>2750</v>
      </c>
      <c r="K900" s="31">
        <f t="shared" si="14"/>
        <v>2475</v>
      </c>
      <c r="L900" s="31">
        <f>Table2[[#This Row],[gross sales]]-Table2[[#This Row],[net sale]]</f>
        <v>275</v>
      </c>
      <c r="M900" s="36" t="str">
        <f>TEXT(B900,"mmm")</f>
        <v>Mar</v>
      </c>
    </row>
    <row r="901" spans="1:13">
      <c r="A901" s="19">
        <v>1900</v>
      </c>
      <c r="B901" s="18">
        <v>45698</v>
      </c>
      <c r="C901" s="19" t="s">
        <v>13</v>
      </c>
      <c r="D901" s="19" t="s">
        <v>10</v>
      </c>
      <c r="E901" s="19" t="s">
        <v>11</v>
      </c>
      <c r="F901" s="19" t="s">
        <v>23</v>
      </c>
      <c r="G901" s="19"/>
      <c r="H901" s="20">
        <v>1200</v>
      </c>
      <c r="I901" s="24">
        <v>0.05</v>
      </c>
      <c r="J901" s="28"/>
      <c r="K901" s="31"/>
      <c r="L901" s="31">
        <f>Table2[[#This Row],[gross sales]]-Table2[[#This Row],[net sale]]</f>
        <v>0</v>
      </c>
      <c r="M901" s="37" t="str">
        <f>TEXT(B901,"mmm")</f>
        <v>Feb</v>
      </c>
    </row>
    <row r="902" spans="1:13">
      <c r="A902" s="16">
        <v>1901</v>
      </c>
      <c r="B902" s="15">
        <v>45992</v>
      </c>
      <c r="C902" s="16" t="s">
        <v>21</v>
      </c>
      <c r="D902" s="16" t="s">
        <v>10</v>
      </c>
      <c r="E902" s="16" t="s">
        <v>22</v>
      </c>
      <c r="F902" s="16" t="s">
        <v>27</v>
      </c>
      <c r="G902" s="16">
        <v>9</v>
      </c>
      <c r="H902" s="17">
        <v>14000</v>
      </c>
      <c r="I902" s="23">
        <v>0.12</v>
      </c>
      <c r="J902" s="28">
        <f>Table2[[#This Row],[Quantity]]*Table2[[#This Row],[Unit_Price]]</f>
        <v>126000</v>
      </c>
      <c r="K902" s="31">
        <f t="shared" si="14"/>
        <v>110880</v>
      </c>
      <c r="L902" s="31">
        <f>Table2[[#This Row],[gross sales]]-Table2[[#This Row],[net sale]]</f>
        <v>15120</v>
      </c>
      <c r="M902" s="36" t="str">
        <f>TEXT(B902,"mmm")</f>
        <v>Dec</v>
      </c>
    </row>
    <row r="903" spans="1:13">
      <c r="A903" s="19">
        <v>1902</v>
      </c>
      <c r="B903" s="18">
        <v>45885</v>
      </c>
      <c r="C903" s="19" t="s">
        <v>35</v>
      </c>
      <c r="D903" s="19" t="s">
        <v>36</v>
      </c>
      <c r="E903" s="19" t="s">
        <v>22</v>
      </c>
      <c r="F903" s="19" t="s">
        <v>15</v>
      </c>
      <c r="G903" s="19">
        <v>12</v>
      </c>
      <c r="H903" s="20">
        <v>3500</v>
      </c>
      <c r="I903" s="24">
        <v>0.15</v>
      </c>
      <c r="J903" s="28">
        <f>Table2[[#This Row],[Quantity]]*Table2[[#This Row],[Unit_Price]]</f>
        <v>42000</v>
      </c>
      <c r="K903" s="31">
        <f t="shared" si="14"/>
        <v>35700</v>
      </c>
      <c r="L903" s="31">
        <f>Table2[[#This Row],[gross sales]]-Table2[[#This Row],[net sale]]</f>
        <v>6300</v>
      </c>
      <c r="M903" s="37" t="str">
        <f>TEXT(B903,"mmm")</f>
        <v>Aug</v>
      </c>
    </row>
    <row r="904" spans="1:13">
      <c r="A904" s="16">
        <v>1903</v>
      </c>
      <c r="B904" s="15">
        <v>45743</v>
      </c>
      <c r="C904" s="16" t="s">
        <v>13</v>
      </c>
      <c r="D904" s="16" t="s">
        <v>10</v>
      </c>
      <c r="E904" s="16" t="s">
        <v>17</v>
      </c>
      <c r="F904" s="16" t="s">
        <v>27</v>
      </c>
      <c r="G904" s="16">
        <v>1</v>
      </c>
      <c r="H904" s="17">
        <v>1200</v>
      </c>
      <c r="I904" s="23">
        <v>0.05</v>
      </c>
      <c r="J904" s="28">
        <f>Table2[[#This Row],[Quantity]]*Table2[[#This Row],[Unit_Price]]</f>
        <v>1200</v>
      </c>
      <c r="K904" s="31">
        <f t="shared" si="14"/>
        <v>1140</v>
      </c>
      <c r="L904" s="31">
        <f>Table2[[#This Row],[gross sales]]-Table2[[#This Row],[net sale]]</f>
        <v>60</v>
      </c>
      <c r="M904" s="36" t="str">
        <f>TEXT(B904,"mmm")</f>
        <v>Mar</v>
      </c>
    </row>
    <row r="905" spans="1:13">
      <c r="A905" s="19">
        <v>1904</v>
      </c>
      <c r="B905" s="18">
        <v>46016</v>
      </c>
      <c r="C905" s="19" t="s">
        <v>39</v>
      </c>
      <c r="D905" s="19" t="s">
        <v>30</v>
      </c>
      <c r="E905" s="19" t="s">
        <v>17</v>
      </c>
      <c r="F905" s="19" t="s">
        <v>15</v>
      </c>
      <c r="G905" s="19">
        <v>3</v>
      </c>
      <c r="H905" s="19">
        <v>180</v>
      </c>
      <c r="I905" s="24">
        <v>0.05</v>
      </c>
      <c r="J905" s="28">
        <f>Table2[[#This Row],[Quantity]]*Table2[[#This Row],[Unit_Price]]</f>
        <v>540</v>
      </c>
      <c r="K905" s="31">
        <f t="shared" si="14"/>
        <v>513</v>
      </c>
      <c r="L905" s="31">
        <f>Table2[[#This Row],[gross sales]]-Table2[[#This Row],[net sale]]</f>
        <v>27</v>
      </c>
      <c r="M905" s="37" t="str">
        <f>TEXT(B905,"mmm")</f>
        <v>Dec</v>
      </c>
    </row>
    <row r="906" spans="1:13">
      <c r="A906" s="16">
        <v>1905</v>
      </c>
      <c r="B906" s="15">
        <v>45710</v>
      </c>
      <c r="C906" s="16" t="s">
        <v>9</v>
      </c>
      <c r="D906" s="16" t="s">
        <v>10</v>
      </c>
      <c r="E906" s="16" t="s">
        <v>14</v>
      </c>
      <c r="F906" s="16" t="s">
        <v>18</v>
      </c>
      <c r="G906" s="16">
        <v>3</v>
      </c>
      <c r="H906" s="17">
        <v>18000</v>
      </c>
      <c r="I906" s="23">
        <v>0.1</v>
      </c>
      <c r="J906" s="28">
        <f>Table2[[#This Row],[Quantity]]*Table2[[#This Row],[Unit_Price]]</f>
        <v>54000</v>
      </c>
      <c r="K906" s="31">
        <f t="shared" si="14"/>
        <v>48600</v>
      </c>
      <c r="L906" s="31">
        <f>Table2[[#This Row],[gross sales]]-Table2[[#This Row],[net sale]]</f>
        <v>5400</v>
      </c>
      <c r="M906" s="36" t="str">
        <f>TEXT(B906,"mmm")</f>
        <v>Feb</v>
      </c>
    </row>
    <row r="907" spans="1:13">
      <c r="A907" s="19">
        <v>1906</v>
      </c>
      <c r="B907" s="18">
        <v>45861</v>
      </c>
      <c r="C907" s="19" t="s">
        <v>25</v>
      </c>
      <c r="D907" s="19" t="s">
        <v>26</v>
      </c>
      <c r="E907" s="19" t="s">
        <v>11</v>
      </c>
      <c r="F907" s="19" t="s">
        <v>32</v>
      </c>
      <c r="G907" s="19">
        <v>3</v>
      </c>
      <c r="H907" s="20">
        <v>11000</v>
      </c>
      <c r="I907" s="24">
        <v>0</v>
      </c>
      <c r="J907" s="28">
        <f>Table2[[#This Row],[Quantity]]*Table2[[#This Row],[Unit_Price]]</f>
        <v>33000</v>
      </c>
      <c r="K907" s="31">
        <f t="shared" si="14"/>
        <v>33000</v>
      </c>
      <c r="L907" s="31">
        <f>Table2[[#This Row],[gross sales]]-Table2[[#This Row],[net sale]]</f>
        <v>0</v>
      </c>
      <c r="M907" s="37" t="str">
        <f>TEXT(B907,"mmm")</f>
        <v>Jul</v>
      </c>
    </row>
    <row r="908" spans="1:13">
      <c r="A908" s="16">
        <v>1907</v>
      </c>
      <c r="B908" s="15">
        <v>45701</v>
      </c>
      <c r="C908" s="16" t="s">
        <v>29</v>
      </c>
      <c r="D908" s="16" t="s">
        <v>30</v>
      </c>
      <c r="E908" s="16" t="s">
        <v>17</v>
      </c>
      <c r="F908" s="16" t="s">
        <v>12</v>
      </c>
      <c r="G908" s="16">
        <v>13</v>
      </c>
      <c r="H908" s="16">
        <v>250</v>
      </c>
      <c r="I908" s="23">
        <v>0.08</v>
      </c>
      <c r="J908" s="28">
        <f>Table2[[#This Row],[Quantity]]*Table2[[#This Row],[Unit_Price]]</f>
        <v>3250</v>
      </c>
      <c r="K908" s="31">
        <f t="shared" si="14"/>
        <v>2990</v>
      </c>
      <c r="L908" s="31">
        <f>Table2[[#This Row],[gross sales]]-Table2[[#This Row],[net sale]]</f>
        <v>260</v>
      </c>
      <c r="M908" s="36" t="str">
        <f>TEXT(B908,"mmm")</f>
        <v>Feb</v>
      </c>
    </row>
    <row r="909" spans="1:13">
      <c r="A909" s="19">
        <v>1908</v>
      </c>
      <c r="B909" s="18">
        <v>45803</v>
      </c>
      <c r="C909" s="19" t="s">
        <v>34</v>
      </c>
      <c r="D909" s="19" t="s">
        <v>26</v>
      </c>
      <c r="E909" s="19" t="s">
        <v>17</v>
      </c>
      <c r="F909" s="19" t="s">
        <v>18</v>
      </c>
      <c r="G909" s="19">
        <v>5</v>
      </c>
      <c r="H909" s="20">
        <v>15000</v>
      </c>
      <c r="I909" s="24">
        <v>0.05</v>
      </c>
      <c r="J909" s="28">
        <f>Table2[[#This Row],[Quantity]]*Table2[[#This Row],[Unit_Price]]</f>
        <v>75000</v>
      </c>
      <c r="K909" s="31">
        <f t="shared" si="14"/>
        <v>71250</v>
      </c>
      <c r="L909" s="31">
        <f>Table2[[#This Row],[gross sales]]-Table2[[#This Row],[net sale]]</f>
        <v>3750</v>
      </c>
      <c r="M909" s="37" t="str">
        <f>TEXT(B909,"mmm")</f>
        <v>May</v>
      </c>
    </row>
    <row r="910" spans="1:13">
      <c r="A910" s="16">
        <v>1909</v>
      </c>
      <c r="B910" s="15">
        <v>45675</v>
      </c>
      <c r="C910" s="16" t="s">
        <v>29</v>
      </c>
      <c r="D910" s="16" t="s">
        <v>30</v>
      </c>
      <c r="E910" s="16" t="s">
        <v>22</v>
      </c>
      <c r="F910" s="16" t="s">
        <v>20</v>
      </c>
      <c r="G910" s="16">
        <v>12</v>
      </c>
      <c r="H910" s="16">
        <v>250</v>
      </c>
      <c r="I910" s="23">
        <v>0.08</v>
      </c>
      <c r="J910" s="28">
        <f>Table2[[#This Row],[Quantity]]*Table2[[#This Row],[Unit_Price]]</f>
        <v>3000</v>
      </c>
      <c r="K910" s="31">
        <f t="shared" si="14"/>
        <v>2760</v>
      </c>
      <c r="L910" s="31">
        <f>Table2[[#This Row],[gross sales]]-Table2[[#This Row],[net sale]]</f>
        <v>240</v>
      </c>
      <c r="M910" s="36" t="str">
        <f>TEXT(B910,"mmm")</f>
        <v>Jan</v>
      </c>
    </row>
    <row r="911" spans="1:13">
      <c r="A911" s="19">
        <v>1910</v>
      </c>
      <c r="B911" s="18">
        <v>45934</v>
      </c>
      <c r="C911" s="19" t="s">
        <v>37</v>
      </c>
      <c r="D911" s="19" t="s">
        <v>36</v>
      </c>
      <c r="E911" s="19" t="s">
        <v>22</v>
      </c>
      <c r="F911" s="19" t="s">
        <v>32</v>
      </c>
      <c r="G911" s="19">
        <v>9</v>
      </c>
      <c r="H911" s="20">
        <v>1800</v>
      </c>
      <c r="I911" s="24">
        <v>0.12</v>
      </c>
      <c r="J911" s="28">
        <f>Table2[[#This Row],[Quantity]]*Table2[[#This Row],[Unit_Price]]</f>
        <v>16200</v>
      </c>
      <c r="K911" s="31">
        <f t="shared" si="14"/>
        <v>14256</v>
      </c>
      <c r="L911" s="31">
        <f>Table2[[#This Row],[gross sales]]-Table2[[#This Row],[net sale]]</f>
        <v>1944</v>
      </c>
      <c r="M911" s="37" t="str">
        <f>TEXT(B911,"mmm")</f>
        <v>Oct</v>
      </c>
    </row>
    <row r="912" spans="1:13">
      <c r="A912" s="16">
        <v>1911</v>
      </c>
      <c r="B912" s="15">
        <v>46015</v>
      </c>
      <c r="C912" s="16" t="s">
        <v>25</v>
      </c>
      <c r="D912" s="16" t="s">
        <v>26</v>
      </c>
      <c r="E912" s="16" t="s">
        <v>22</v>
      </c>
      <c r="F912" s="16" t="s">
        <v>15</v>
      </c>
      <c r="G912" s="16">
        <v>6</v>
      </c>
      <c r="H912" s="17">
        <v>11000</v>
      </c>
      <c r="I912" s="23">
        <v>0.12</v>
      </c>
      <c r="J912" s="28">
        <f>Table2[[#This Row],[Quantity]]*Table2[[#This Row],[Unit_Price]]</f>
        <v>66000</v>
      </c>
      <c r="K912" s="31">
        <f t="shared" si="14"/>
        <v>58080</v>
      </c>
      <c r="L912" s="31">
        <f>Table2[[#This Row],[gross sales]]-Table2[[#This Row],[net sale]]</f>
        <v>7920</v>
      </c>
      <c r="M912" s="36" t="str">
        <f>TEXT(B912,"mmm")</f>
        <v>Dec</v>
      </c>
    </row>
    <row r="913" spans="1:13">
      <c r="A913" s="19">
        <v>1912</v>
      </c>
      <c r="B913" s="18">
        <v>45926</v>
      </c>
      <c r="C913" s="19" t="s">
        <v>29</v>
      </c>
      <c r="D913" s="19" t="s">
        <v>30</v>
      </c>
      <c r="E913" s="19" t="s">
        <v>11</v>
      </c>
      <c r="F913" s="19" t="s">
        <v>20</v>
      </c>
      <c r="G913" s="19">
        <v>18</v>
      </c>
      <c r="H913" s="19">
        <v>250</v>
      </c>
      <c r="I913" s="24">
        <v>0.08</v>
      </c>
      <c r="J913" s="28">
        <f>Table2[[#This Row],[Quantity]]*Table2[[#This Row],[Unit_Price]]</f>
        <v>4500</v>
      </c>
      <c r="K913" s="31">
        <f t="shared" si="14"/>
        <v>4140</v>
      </c>
      <c r="L913" s="31">
        <f>Table2[[#This Row],[gross sales]]-Table2[[#This Row],[net sale]]</f>
        <v>360</v>
      </c>
      <c r="M913" s="37" t="str">
        <f>TEXT(B913,"mmm")</f>
        <v>Sep</v>
      </c>
    </row>
    <row r="914" spans="1:13">
      <c r="A914" s="16">
        <v>1913</v>
      </c>
      <c r="B914" s="15">
        <v>45934</v>
      </c>
      <c r="C914" s="16" t="s">
        <v>19</v>
      </c>
      <c r="D914" s="16" t="s">
        <v>10</v>
      </c>
      <c r="E914" s="16" t="s">
        <v>11</v>
      </c>
      <c r="F914" s="16" t="s">
        <v>23</v>
      </c>
      <c r="G914" s="16">
        <v>3</v>
      </c>
      <c r="H914" s="16">
        <v>800</v>
      </c>
      <c r="I914" s="23">
        <v>0.1</v>
      </c>
      <c r="J914" s="28">
        <f>Table2[[#This Row],[Quantity]]*Table2[[#This Row],[Unit_Price]]</f>
        <v>2400</v>
      </c>
      <c r="K914" s="31">
        <f t="shared" si="14"/>
        <v>2160</v>
      </c>
      <c r="L914" s="31">
        <f>Table2[[#This Row],[gross sales]]-Table2[[#This Row],[net sale]]</f>
        <v>240</v>
      </c>
      <c r="M914" s="36" t="str">
        <f>TEXT(B914,"mmm")</f>
        <v>Oct</v>
      </c>
    </row>
    <row r="915" spans="1:13">
      <c r="A915" s="19">
        <v>1914</v>
      </c>
      <c r="B915" s="18">
        <v>45869</v>
      </c>
      <c r="C915" s="19" t="s">
        <v>21</v>
      </c>
      <c r="D915" s="19" t="s">
        <v>10</v>
      </c>
      <c r="E915" s="19" t="s">
        <v>14</v>
      </c>
      <c r="F915" s="19" t="s">
        <v>18</v>
      </c>
      <c r="G915" s="19">
        <v>5</v>
      </c>
      <c r="H915" s="20">
        <v>14000</v>
      </c>
      <c r="I915" s="24">
        <v>0.08</v>
      </c>
      <c r="J915" s="28">
        <f>Table2[[#This Row],[Quantity]]*Table2[[#This Row],[Unit_Price]]</f>
        <v>70000</v>
      </c>
      <c r="K915" s="31">
        <f t="shared" si="14"/>
        <v>64400</v>
      </c>
      <c r="L915" s="31">
        <f>Table2[[#This Row],[gross sales]]-Table2[[#This Row],[net sale]]</f>
        <v>5600</v>
      </c>
      <c r="M915" s="37" t="str">
        <f>TEXT(B915,"mmm")</f>
        <v>Jul</v>
      </c>
    </row>
    <row r="916" spans="1:13">
      <c r="A916" s="16">
        <v>1915</v>
      </c>
      <c r="B916" s="15">
        <v>45925</v>
      </c>
      <c r="C916" s="16" t="s">
        <v>38</v>
      </c>
      <c r="D916" s="16" t="s">
        <v>10</v>
      </c>
      <c r="E916" s="16" t="s">
        <v>11</v>
      </c>
      <c r="F916" s="16" t="s">
        <v>20</v>
      </c>
      <c r="G916" s="16">
        <v>5</v>
      </c>
      <c r="H916" s="17">
        <v>42000</v>
      </c>
      <c r="I916" s="23">
        <v>0.08</v>
      </c>
      <c r="J916" s="28">
        <f>Table2[[#This Row],[Quantity]]*Table2[[#This Row],[Unit_Price]]</f>
        <v>210000</v>
      </c>
      <c r="K916" s="31">
        <f t="shared" si="14"/>
        <v>193200</v>
      </c>
      <c r="L916" s="31">
        <f>Table2[[#This Row],[gross sales]]-Table2[[#This Row],[net sale]]</f>
        <v>16800</v>
      </c>
      <c r="M916" s="36" t="str">
        <f>TEXT(B916,"mmm")</f>
        <v>Sep</v>
      </c>
    </row>
    <row r="917" spans="1:13">
      <c r="A917" s="19">
        <v>1916</v>
      </c>
      <c r="B917" s="18">
        <v>45931</v>
      </c>
      <c r="C917" s="19" t="s">
        <v>16</v>
      </c>
      <c r="D917" s="19" t="s">
        <v>10</v>
      </c>
      <c r="E917" s="19" t="s">
        <v>11</v>
      </c>
      <c r="F917" s="19" t="s">
        <v>18</v>
      </c>
      <c r="G917" s="19">
        <v>16</v>
      </c>
      <c r="H917" s="20">
        <v>55000</v>
      </c>
      <c r="I917" s="24">
        <v>0.1</v>
      </c>
      <c r="J917" s="28">
        <f>Table2[[#This Row],[Quantity]]*Table2[[#This Row],[Unit_Price]]</f>
        <v>880000</v>
      </c>
      <c r="K917" s="31">
        <f t="shared" si="14"/>
        <v>792000</v>
      </c>
      <c r="L917" s="31">
        <f>Table2[[#This Row],[gross sales]]-Table2[[#This Row],[net sale]]</f>
        <v>88000</v>
      </c>
      <c r="M917" s="37" t="str">
        <f>TEXT(B917,"mmm")</f>
        <v>Oct</v>
      </c>
    </row>
    <row r="918" spans="1:13">
      <c r="A918" s="16">
        <v>1917</v>
      </c>
      <c r="B918" s="15">
        <v>45878</v>
      </c>
      <c r="C918" s="16" t="s">
        <v>35</v>
      </c>
      <c r="D918" s="16" t="s">
        <v>36</v>
      </c>
      <c r="E918" s="16" t="s">
        <v>17</v>
      </c>
      <c r="F918" s="16" t="s">
        <v>18</v>
      </c>
      <c r="G918" s="16">
        <v>10</v>
      </c>
      <c r="H918" s="17">
        <v>3500</v>
      </c>
      <c r="I918" s="23">
        <v>0.12</v>
      </c>
      <c r="J918" s="28">
        <f>Table2[[#This Row],[Quantity]]*Table2[[#This Row],[Unit_Price]]</f>
        <v>35000</v>
      </c>
      <c r="K918" s="31">
        <f t="shared" si="14"/>
        <v>30800</v>
      </c>
      <c r="L918" s="31">
        <f>Table2[[#This Row],[gross sales]]-Table2[[#This Row],[net sale]]</f>
        <v>4200</v>
      </c>
      <c r="M918" s="36" t="str">
        <f>TEXT(B918,"mmm")</f>
        <v>Aug</v>
      </c>
    </row>
    <row r="919" spans="1:13">
      <c r="A919" s="19">
        <v>1918</v>
      </c>
      <c r="B919" s="18">
        <v>45938</v>
      </c>
      <c r="C919" s="19" t="s">
        <v>33</v>
      </c>
      <c r="D919" s="19" t="s">
        <v>10</v>
      </c>
      <c r="E919" s="19" t="s">
        <v>22</v>
      </c>
      <c r="F919" s="19" t="s">
        <v>15</v>
      </c>
      <c r="G919" s="19">
        <v>7</v>
      </c>
      <c r="H919" s="20">
        <v>2500</v>
      </c>
      <c r="I919" s="24">
        <v>0.1</v>
      </c>
      <c r="J919" s="28">
        <f>Table2[[#This Row],[Quantity]]*Table2[[#This Row],[Unit_Price]]</f>
        <v>17500</v>
      </c>
      <c r="K919" s="31">
        <f t="shared" si="14"/>
        <v>15750</v>
      </c>
      <c r="L919" s="31">
        <f>Table2[[#This Row],[gross sales]]-Table2[[#This Row],[net sale]]</f>
        <v>1750</v>
      </c>
      <c r="M919" s="37" t="str">
        <f>TEXT(B919,"mmm")</f>
        <v>Oct</v>
      </c>
    </row>
    <row r="920" spans="1:13">
      <c r="A920" s="16">
        <v>1919</v>
      </c>
      <c r="B920" s="15">
        <v>45785</v>
      </c>
      <c r="C920" s="16" t="s">
        <v>13</v>
      </c>
      <c r="D920" s="16" t="s">
        <v>10</v>
      </c>
      <c r="E920" s="16" t="s">
        <v>17</v>
      </c>
      <c r="F920" s="16" t="s">
        <v>27</v>
      </c>
      <c r="G920" s="16">
        <v>13</v>
      </c>
      <c r="H920" s="17">
        <v>1200</v>
      </c>
      <c r="I920" s="23">
        <v>0.1</v>
      </c>
      <c r="J920" s="28">
        <f>Table2[[#This Row],[Quantity]]*Table2[[#This Row],[Unit_Price]]</f>
        <v>15600</v>
      </c>
      <c r="K920" s="31">
        <f t="shared" si="14"/>
        <v>14040</v>
      </c>
      <c r="L920" s="31">
        <f>Table2[[#This Row],[gross sales]]-Table2[[#This Row],[net sale]]</f>
        <v>1560</v>
      </c>
      <c r="M920" s="36" t="str">
        <f>TEXT(B920,"mmm")</f>
        <v>May</v>
      </c>
    </row>
    <row r="921" spans="1:13">
      <c r="A921" s="19">
        <v>1920</v>
      </c>
      <c r="B921" s="18">
        <v>45698</v>
      </c>
      <c r="C921" s="19" t="s">
        <v>31</v>
      </c>
      <c r="D921" s="19" t="s">
        <v>26</v>
      </c>
      <c r="E921" s="19" t="s">
        <v>11</v>
      </c>
      <c r="F921" s="19" t="s">
        <v>27</v>
      </c>
      <c r="G921" s="19">
        <v>8</v>
      </c>
      <c r="H921" s="20">
        <v>8500</v>
      </c>
      <c r="I921" s="24">
        <v>0.12</v>
      </c>
      <c r="J921" s="28">
        <f>Table2[[#This Row],[Quantity]]*Table2[[#This Row],[Unit_Price]]</f>
        <v>68000</v>
      </c>
      <c r="K921" s="31">
        <f t="shared" si="14"/>
        <v>59840</v>
      </c>
      <c r="L921" s="31">
        <f>Table2[[#This Row],[gross sales]]-Table2[[#This Row],[net sale]]</f>
        <v>8160</v>
      </c>
      <c r="M921" s="37" t="str">
        <f>TEXT(B921,"mmm")</f>
        <v>Feb</v>
      </c>
    </row>
    <row r="922" spans="1:13">
      <c r="A922" s="16">
        <v>1921</v>
      </c>
      <c r="B922" s="15">
        <v>45990</v>
      </c>
      <c r="C922" s="16" t="s">
        <v>39</v>
      </c>
      <c r="D922" s="16" t="s">
        <v>30</v>
      </c>
      <c r="E922" s="16" t="s">
        <v>22</v>
      </c>
      <c r="F922" s="16" t="s">
        <v>12</v>
      </c>
      <c r="G922" s="16">
        <v>18</v>
      </c>
      <c r="H922" s="16">
        <v>180</v>
      </c>
      <c r="I922" s="23">
        <v>0.08</v>
      </c>
      <c r="J922" s="28">
        <f>Table2[[#This Row],[Quantity]]*Table2[[#This Row],[Unit_Price]]</f>
        <v>3240</v>
      </c>
      <c r="K922" s="31">
        <f t="shared" si="14"/>
        <v>2980.8</v>
      </c>
      <c r="L922" s="31">
        <f>Table2[[#This Row],[gross sales]]-Table2[[#This Row],[net sale]]</f>
        <v>259.19999999999982</v>
      </c>
      <c r="M922" s="36" t="str">
        <f>TEXT(B922,"mmm")</f>
        <v>Nov</v>
      </c>
    </row>
    <row r="923" spans="1:13">
      <c r="A923" s="19">
        <v>1922</v>
      </c>
      <c r="B923" s="18">
        <v>45693</v>
      </c>
      <c r="C923" s="19" t="s">
        <v>13</v>
      </c>
      <c r="D923" s="19" t="s">
        <v>10</v>
      </c>
      <c r="E923" s="19" t="s">
        <v>14</v>
      </c>
      <c r="F923" s="19" t="s">
        <v>20</v>
      </c>
      <c r="G923" s="19">
        <v>5</v>
      </c>
      <c r="H923" s="20">
        <v>1200</v>
      </c>
      <c r="I923" s="24">
        <v>0.08</v>
      </c>
      <c r="J923" s="28">
        <f>Table2[[#This Row],[Quantity]]*Table2[[#This Row],[Unit_Price]]</f>
        <v>6000</v>
      </c>
      <c r="K923" s="31">
        <f t="shared" si="14"/>
        <v>5520</v>
      </c>
      <c r="L923" s="31">
        <f>Table2[[#This Row],[gross sales]]-Table2[[#This Row],[net sale]]</f>
        <v>480</v>
      </c>
      <c r="M923" s="37" t="str">
        <f>TEXT(B923,"mmm")</f>
        <v>Feb</v>
      </c>
    </row>
    <row r="924" spans="1:13">
      <c r="A924" s="16">
        <v>1923</v>
      </c>
      <c r="B924" s="15">
        <v>45974</v>
      </c>
      <c r="C924" s="16" t="s">
        <v>34</v>
      </c>
      <c r="D924" s="16" t="s">
        <v>26</v>
      </c>
      <c r="E924" s="16" t="s">
        <v>22</v>
      </c>
      <c r="F924" s="16" t="s">
        <v>12</v>
      </c>
      <c r="G924" s="16">
        <v>9</v>
      </c>
      <c r="H924" s="17">
        <v>15000</v>
      </c>
      <c r="I924" s="23">
        <v>0.15</v>
      </c>
      <c r="J924" s="28">
        <f>Table2[[#This Row],[Quantity]]*Table2[[#This Row],[Unit_Price]]</f>
        <v>135000</v>
      </c>
      <c r="K924" s="31">
        <f t="shared" si="14"/>
        <v>114750</v>
      </c>
      <c r="L924" s="31">
        <f>Table2[[#This Row],[gross sales]]-Table2[[#This Row],[net sale]]</f>
        <v>20250</v>
      </c>
      <c r="M924" s="36" t="str">
        <f>TEXT(B924,"mmm")</f>
        <v>Nov</v>
      </c>
    </row>
    <row r="925" spans="1:13">
      <c r="A925" s="19">
        <v>1924</v>
      </c>
      <c r="B925" s="18">
        <v>45822</v>
      </c>
      <c r="C925" s="19" t="s">
        <v>16</v>
      </c>
      <c r="D925" s="19" t="s">
        <v>10</v>
      </c>
      <c r="E925" s="19" t="s">
        <v>14</v>
      </c>
      <c r="F925" s="19" t="s">
        <v>32</v>
      </c>
      <c r="G925" s="19">
        <v>5</v>
      </c>
      <c r="H925" s="20">
        <v>55000</v>
      </c>
      <c r="I925" s="24">
        <v>0</v>
      </c>
      <c r="J925" s="28">
        <f>Table2[[#This Row],[Quantity]]*Table2[[#This Row],[Unit_Price]]</f>
        <v>275000</v>
      </c>
      <c r="K925" s="31">
        <f t="shared" si="14"/>
        <v>275000</v>
      </c>
      <c r="L925" s="31">
        <f>Table2[[#This Row],[gross sales]]-Table2[[#This Row],[net sale]]</f>
        <v>0</v>
      </c>
      <c r="M925" s="37" t="str">
        <f>TEXT(B925,"mmm")</f>
        <v>Jun</v>
      </c>
    </row>
    <row r="926" spans="1:13">
      <c r="A926" s="16">
        <v>1925</v>
      </c>
      <c r="B926" s="15">
        <v>45710</v>
      </c>
      <c r="C926" s="16" t="s">
        <v>21</v>
      </c>
      <c r="D926" s="16" t="s">
        <v>10</v>
      </c>
      <c r="E926" s="16" t="s">
        <v>22</v>
      </c>
      <c r="F926" s="16" t="s">
        <v>18</v>
      </c>
      <c r="G926" s="16">
        <v>9</v>
      </c>
      <c r="H926" s="17">
        <v>14000</v>
      </c>
      <c r="I926" s="23">
        <v>0.05</v>
      </c>
      <c r="J926" s="28">
        <f>Table2[[#This Row],[Quantity]]*Table2[[#This Row],[Unit_Price]]</f>
        <v>126000</v>
      </c>
      <c r="K926" s="31">
        <f t="shared" si="14"/>
        <v>119700</v>
      </c>
      <c r="L926" s="31">
        <f>Table2[[#This Row],[gross sales]]-Table2[[#This Row],[net sale]]</f>
        <v>6300</v>
      </c>
      <c r="M926" s="36" t="str">
        <f>TEXT(B926,"mmm")</f>
        <v>Feb</v>
      </c>
    </row>
    <row r="927" spans="1:13">
      <c r="A927" s="19">
        <v>1926</v>
      </c>
      <c r="B927" s="18">
        <v>45777</v>
      </c>
      <c r="C927" s="19" t="s">
        <v>9</v>
      </c>
      <c r="D927" s="19" t="s">
        <v>10</v>
      </c>
      <c r="E927" s="19" t="s">
        <v>22</v>
      </c>
      <c r="F927" s="19" t="s">
        <v>12</v>
      </c>
      <c r="G927" s="19">
        <v>5</v>
      </c>
      <c r="H927" s="20">
        <v>18000</v>
      </c>
      <c r="I927" s="24">
        <v>0</v>
      </c>
      <c r="J927" s="28">
        <f>Table2[[#This Row],[Quantity]]*Table2[[#This Row],[Unit_Price]]</f>
        <v>90000</v>
      </c>
      <c r="K927" s="31">
        <f t="shared" si="14"/>
        <v>90000</v>
      </c>
      <c r="L927" s="31">
        <f>Table2[[#This Row],[gross sales]]-Table2[[#This Row],[net sale]]</f>
        <v>0</v>
      </c>
      <c r="M927" s="37" t="str">
        <f>TEXT(B927,"mmm")</f>
        <v>Apr</v>
      </c>
    </row>
    <row r="928" spans="1:13">
      <c r="A928" s="16">
        <v>1927</v>
      </c>
      <c r="B928" s="15">
        <v>45833</v>
      </c>
      <c r="C928" s="16" t="s">
        <v>31</v>
      </c>
      <c r="D928" s="16" t="s">
        <v>26</v>
      </c>
      <c r="E928" s="16" t="s">
        <v>11</v>
      </c>
      <c r="F928" s="16" t="s">
        <v>20</v>
      </c>
      <c r="G928" s="16">
        <v>10</v>
      </c>
      <c r="H928" s="17">
        <v>8500</v>
      </c>
      <c r="I928" s="23">
        <v>0.1</v>
      </c>
      <c r="J928" s="28">
        <f>Table2[[#This Row],[Quantity]]*Table2[[#This Row],[Unit_Price]]</f>
        <v>85000</v>
      </c>
      <c r="K928" s="31">
        <f t="shared" si="14"/>
        <v>76500</v>
      </c>
      <c r="L928" s="31">
        <f>Table2[[#This Row],[gross sales]]-Table2[[#This Row],[net sale]]</f>
        <v>8500</v>
      </c>
      <c r="M928" s="36" t="str">
        <f>TEXT(B928,"mmm")</f>
        <v>Jun</v>
      </c>
    </row>
    <row r="929" spans="1:13">
      <c r="A929" s="19">
        <v>1928</v>
      </c>
      <c r="B929" s="18">
        <v>46014</v>
      </c>
      <c r="C929" s="19" t="s">
        <v>35</v>
      </c>
      <c r="D929" s="19" t="s">
        <v>36</v>
      </c>
      <c r="E929" s="19" t="s">
        <v>14</v>
      </c>
      <c r="F929" s="19" t="s">
        <v>32</v>
      </c>
      <c r="G929" s="19">
        <v>2</v>
      </c>
      <c r="H929" s="20">
        <v>3500</v>
      </c>
      <c r="I929" s="24">
        <v>0.08</v>
      </c>
      <c r="J929" s="28">
        <f>Table2[[#This Row],[Quantity]]*Table2[[#This Row],[Unit_Price]]</f>
        <v>7000</v>
      </c>
      <c r="K929" s="31">
        <f t="shared" si="14"/>
        <v>6440</v>
      </c>
      <c r="L929" s="31">
        <f>Table2[[#This Row],[gross sales]]-Table2[[#This Row],[net sale]]</f>
        <v>560</v>
      </c>
      <c r="M929" s="37" t="str">
        <f>TEXT(B929,"mmm")</f>
        <v>Dec</v>
      </c>
    </row>
    <row r="930" spans="1:13">
      <c r="A930" s="16">
        <v>1929</v>
      </c>
      <c r="B930" s="15">
        <v>45686</v>
      </c>
      <c r="C930" s="16" t="s">
        <v>21</v>
      </c>
      <c r="D930" s="16" t="s">
        <v>10</v>
      </c>
      <c r="E930" s="16" t="s">
        <v>22</v>
      </c>
      <c r="F930" s="16" t="s">
        <v>32</v>
      </c>
      <c r="G930" s="16">
        <v>13</v>
      </c>
      <c r="H930" s="17">
        <v>14000</v>
      </c>
      <c r="I930" s="23">
        <v>0</v>
      </c>
      <c r="J930" s="28">
        <f>Table2[[#This Row],[Quantity]]*Table2[[#This Row],[Unit_Price]]</f>
        <v>182000</v>
      </c>
      <c r="K930" s="31">
        <f t="shared" si="14"/>
        <v>182000</v>
      </c>
      <c r="L930" s="31">
        <f>Table2[[#This Row],[gross sales]]-Table2[[#This Row],[net sale]]</f>
        <v>0</v>
      </c>
      <c r="M930" s="36" t="str">
        <f>TEXT(B930,"mmm")</f>
        <v>Jan</v>
      </c>
    </row>
    <row r="931" spans="1:13">
      <c r="A931" s="19">
        <v>1930</v>
      </c>
      <c r="B931" s="18">
        <v>45756</v>
      </c>
      <c r="C931" s="19" t="s">
        <v>37</v>
      </c>
      <c r="D931" s="19" t="s">
        <v>36</v>
      </c>
      <c r="E931" s="19" t="s">
        <v>14</v>
      </c>
      <c r="F931" s="19" t="s">
        <v>24</v>
      </c>
      <c r="G931" s="19">
        <v>9</v>
      </c>
      <c r="H931" s="20">
        <v>1800</v>
      </c>
      <c r="I931" s="24">
        <v>0.1</v>
      </c>
      <c r="J931" s="28">
        <f>Table2[[#This Row],[Quantity]]*Table2[[#This Row],[Unit_Price]]</f>
        <v>16200</v>
      </c>
      <c r="K931" s="31">
        <f t="shared" si="14"/>
        <v>14580</v>
      </c>
      <c r="L931" s="31">
        <f>Table2[[#This Row],[gross sales]]-Table2[[#This Row],[net sale]]</f>
        <v>1620</v>
      </c>
      <c r="M931" s="37" t="str">
        <f>TEXT(B931,"mmm")</f>
        <v>Apr</v>
      </c>
    </row>
    <row r="932" spans="1:13">
      <c r="A932" s="16">
        <v>1931</v>
      </c>
      <c r="B932" s="15">
        <v>45785</v>
      </c>
      <c r="C932" s="16" t="s">
        <v>31</v>
      </c>
      <c r="D932" s="16" t="s">
        <v>26</v>
      </c>
      <c r="E932" s="16" t="s">
        <v>14</v>
      </c>
      <c r="F932" s="16" t="s">
        <v>12</v>
      </c>
      <c r="G932" s="16">
        <v>15</v>
      </c>
      <c r="H932" s="17">
        <v>8500</v>
      </c>
      <c r="I932" s="23">
        <v>0.05</v>
      </c>
      <c r="J932" s="28">
        <f>Table2[[#This Row],[Quantity]]*Table2[[#This Row],[Unit_Price]]</f>
        <v>127500</v>
      </c>
      <c r="K932" s="31">
        <f t="shared" si="14"/>
        <v>121125</v>
      </c>
      <c r="L932" s="31">
        <f>Table2[[#This Row],[gross sales]]-Table2[[#This Row],[net sale]]</f>
        <v>6375</v>
      </c>
      <c r="M932" s="36" t="str">
        <f>TEXT(B932,"mmm")</f>
        <v>May</v>
      </c>
    </row>
    <row r="933" spans="1:13">
      <c r="A933" s="19">
        <v>1932</v>
      </c>
      <c r="B933" s="18">
        <v>45893</v>
      </c>
      <c r="C933" s="19" t="s">
        <v>39</v>
      </c>
      <c r="D933" s="19" t="s">
        <v>30</v>
      </c>
      <c r="E933" s="19" t="s">
        <v>17</v>
      </c>
      <c r="F933" s="19" t="s">
        <v>20</v>
      </c>
      <c r="G933" s="19">
        <v>4</v>
      </c>
      <c r="H933" s="19">
        <v>180</v>
      </c>
      <c r="I933" s="24">
        <v>0.12</v>
      </c>
      <c r="J933" s="28">
        <f>Table2[[#This Row],[Quantity]]*Table2[[#This Row],[Unit_Price]]</f>
        <v>720</v>
      </c>
      <c r="K933" s="31">
        <f t="shared" si="14"/>
        <v>633.6</v>
      </c>
      <c r="L933" s="31">
        <f>Table2[[#This Row],[gross sales]]-Table2[[#This Row],[net sale]]</f>
        <v>86.399999999999977</v>
      </c>
      <c r="M933" s="37" t="str">
        <f>TEXT(B933,"mmm")</f>
        <v>Aug</v>
      </c>
    </row>
    <row r="934" spans="1:13">
      <c r="A934" s="16">
        <v>1933</v>
      </c>
      <c r="B934" s="15">
        <v>45857</v>
      </c>
      <c r="C934" s="16" t="s">
        <v>29</v>
      </c>
      <c r="D934" s="16" t="s">
        <v>30</v>
      </c>
      <c r="E934" s="16" t="s">
        <v>17</v>
      </c>
      <c r="F934" s="16" t="s">
        <v>18</v>
      </c>
      <c r="G934" s="16">
        <v>10</v>
      </c>
      <c r="H934" s="16">
        <v>250</v>
      </c>
      <c r="I934" s="23">
        <v>0.08</v>
      </c>
      <c r="J934" s="28">
        <f>Table2[[#This Row],[Quantity]]*Table2[[#This Row],[Unit_Price]]</f>
        <v>2500</v>
      </c>
      <c r="K934" s="31">
        <f t="shared" si="14"/>
        <v>2300</v>
      </c>
      <c r="L934" s="31">
        <f>Table2[[#This Row],[gross sales]]-Table2[[#This Row],[net sale]]</f>
        <v>200</v>
      </c>
      <c r="M934" s="36" t="str">
        <f>TEXT(B934,"mmm")</f>
        <v>Jul</v>
      </c>
    </row>
    <row r="935" spans="1:13">
      <c r="A935" s="19">
        <v>1934</v>
      </c>
      <c r="B935" s="18">
        <v>45939</v>
      </c>
      <c r="C935" s="19" t="s">
        <v>25</v>
      </c>
      <c r="D935" s="19" t="s">
        <v>26</v>
      </c>
      <c r="E935" s="19" t="s">
        <v>22</v>
      </c>
      <c r="F935" s="19" t="s">
        <v>27</v>
      </c>
      <c r="G935" s="19">
        <v>4</v>
      </c>
      <c r="H935" s="20">
        <v>11000</v>
      </c>
      <c r="I935" s="24">
        <v>0.08</v>
      </c>
      <c r="J935" s="28">
        <f>Table2[[#This Row],[Quantity]]*Table2[[#This Row],[Unit_Price]]</f>
        <v>44000</v>
      </c>
      <c r="K935" s="31">
        <f t="shared" si="14"/>
        <v>40480</v>
      </c>
      <c r="L935" s="31">
        <f>Table2[[#This Row],[gross sales]]-Table2[[#This Row],[net sale]]</f>
        <v>3520</v>
      </c>
      <c r="M935" s="37" t="str">
        <f>TEXT(B935,"mmm")</f>
        <v>Oct</v>
      </c>
    </row>
    <row r="936" spans="1:13">
      <c r="A936" s="16">
        <v>1935</v>
      </c>
      <c r="B936" s="15">
        <v>45759</v>
      </c>
      <c r="C936" s="16" t="s">
        <v>33</v>
      </c>
      <c r="D936" s="16" t="s">
        <v>10</v>
      </c>
      <c r="E936" s="16" t="s">
        <v>17</v>
      </c>
      <c r="F936" s="16" t="s">
        <v>24</v>
      </c>
      <c r="G936" s="16">
        <v>2</v>
      </c>
      <c r="H936" s="17">
        <v>2500</v>
      </c>
      <c r="I936" s="23">
        <v>0.15</v>
      </c>
      <c r="J936" s="28">
        <f>Table2[[#This Row],[Quantity]]*Table2[[#This Row],[Unit_Price]]</f>
        <v>5000</v>
      </c>
      <c r="K936" s="31">
        <f t="shared" si="14"/>
        <v>4250</v>
      </c>
      <c r="L936" s="31">
        <f>Table2[[#This Row],[gross sales]]-Table2[[#This Row],[net sale]]</f>
        <v>750</v>
      </c>
      <c r="M936" s="36" t="str">
        <f>TEXT(B936,"mmm")</f>
        <v>Apr</v>
      </c>
    </row>
    <row r="937" spans="1:13">
      <c r="A937" s="19">
        <v>1936</v>
      </c>
      <c r="B937" s="18">
        <v>45778</v>
      </c>
      <c r="C937" s="19" t="s">
        <v>29</v>
      </c>
      <c r="D937" s="19" t="s">
        <v>30</v>
      </c>
      <c r="E937" s="19" t="s">
        <v>14</v>
      </c>
      <c r="F937" s="19" t="s">
        <v>32</v>
      </c>
      <c r="G937" s="19">
        <v>14</v>
      </c>
      <c r="H937" s="19">
        <v>250</v>
      </c>
      <c r="I937" s="24">
        <v>0.08</v>
      </c>
      <c r="J937" s="28">
        <f>Table2[[#This Row],[Quantity]]*Table2[[#This Row],[Unit_Price]]</f>
        <v>3500</v>
      </c>
      <c r="K937" s="31">
        <f t="shared" si="14"/>
        <v>3220</v>
      </c>
      <c r="L937" s="31">
        <f>Table2[[#This Row],[gross sales]]-Table2[[#This Row],[net sale]]</f>
        <v>280</v>
      </c>
      <c r="M937" s="37" t="str">
        <f>TEXT(B937,"mmm")</f>
        <v>May</v>
      </c>
    </row>
    <row r="938" spans="1:13">
      <c r="A938" s="16">
        <v>1937</v>
      </c>
      <c r="B938" s="15">
        <v>45799</v>
      </c>
      <c r="C938" s="16" t="s">
        <v>28</v>
      </c>
      <c r="D938" s="16" t="s">
        <v>26</v>
      </c>
      <c r="E938" s="16" t="s">
        <v>17</v>
      </c>
      <c r="F938" s="16" t="s">
        <v>18</v>
      </c>
      <c r="G938" s="16">
        <v>4</v>
      </c>
      <c r="H938" s="17">
        <v>9000</v>
      </c>
      <c r="I938" s="23">
        <v>0.1</v>
      </c>
      <c r="J938" s="28">
        <f>Table2[[#This Row],[Quantity]]*Table2[[#This Row],[Unit_Price]]</f>
        <v>36000</v>
      </c>
      <c r="K938" s="31">
        <f t="shared" si="14"/>
        <v>32400</v>
      </c>
      <c r="L938" s="31">
        <f>Table2[[#This Row],[gross sales]]-Table2[[#This Row],[net sale]]</f>
        <v>3600</v>
      </c>
      <c r="M938" s="36" t="str">
        <f>TEXT(B938,"mmm")</f>
        <v>May</v>
      </c>
    </row>
    <row r="939" spans="1:13">
      <c r="A939" s="19">
        <v>1938</v>
      </c>
      <c r="B939" s="18">
        <v>45679</v>
      </c>
      <c r="C939" s="19" t="s">
        <v>28</v>
      </c>
      <c r="D939" s="19" t="s">
        <v>26</v>
      </c>
      <c r="E939" s="19" t="s">
        <v>17</v>
      </c>
      <c r="F939" s="19" t="s">
        <v>23</v>
      </c>
      <c r="G939" s="19">
        <v>16</v>
      </c>
      <c r="H939" s="20">
        <v>9000</v>
      </c>
      <c r="I939" s="24">
        <v>0.15</v>
      </c>
      <c r="J939" s="28">
        <f>Table2[[#This Row],[Quantity]]*Table2[[#This Row],[Unit_Price]]</f>
        <v>144000</v>
      </c>
      <c r="K939" s="31">
        <f t="shared" si="14"/>
        <v>122400</v>
      </c>
      <c r="L939" s="31">
        <f>Table2[[#This Row],[gross sales]]-Table2[[#This Row],[net sale]]</f>
        <v>21600</v>
      </c>
      <c r="M939" s="37" t="str">
        <f>TEXT(B939,"mmm")</f>
        <v>Jan</v>
      </c>
    </row>
    <row r="940" spans="1:13">
      <c r="A940" s="16">
        <v>1939</v>
      </c>
      <c r="B940" s="15">
        <v>45703</v>
      </c>
      <c r="C940" s="16" t="s">
        <v>19</v>
      </c>
      <c r="D940" s="16" t="s">
        <v>10</v>
      </c>
      <c r="E940" s="16" t="s">
        <v>14</v>
      </c>
      <c r="F940" s="16" t="s">
        <v>23</v>
      </c>
      <c r="G940" s="16">
        <v>6</v>
      </c>
      <c r="H940" s="16">
        <v>800</v>
      </c>
      <c r="I940" s="23">
        <v>0.1</v>
      </c>
      <c r="J940" s="28">
        <f>Table2[[#This Row],[Quantity]]*Table2[[#This Row],[Unit_Price]]</f>
        <v>4800</v>
      </c>
      <c r="K940" s="31">
        <f t="shared" si="14"/>
        <v>4320</v>
      </c>
      <c r="L940" s="31">
        <f>Table2[[#This Row],[gross sales]]-Table2[[#This Row],[net sale]]</f>
        <v>480</v>
      </c>
      <c r="M940" s="36" t="str">
        <f>TEXT(B940,"mmm")</f>
        <v>Feb</v>
      </c>
    </row>
    <row r="941" spans="1:13">
      <c r="A941" s="19">
        <v>1940</v>
      </c>
      <c r="B941" s="18">
        <v>45978</v>
      </c>
      <c r="C941" s="19" t="s">
        <v>16</v>
      </c>
      <c r="D941" s="19" t="s">
        <v>10</v>
      </c>
      <c r="E941" s="19" t="s">
        <v>17</v>
      </c>
      <c r="F941" s="19" t="s">
        <v>24</v>
      </c>
      <c r="G941" s="19">
        <v>2</v>
      </c>
      <c r="H941" s="20">
        <v>55000</v>
      </c>
      <c r="I941" s="24">
        <v>0.08</v>
      </c>
      <c r="J941" s="28">
        <f>Table2[[#This Row],[Quantity]]*Table2[[#This Row],[Unit_Price]]</f>
        <v>110000</v>
      </c>
      <c r="K941" s="31">
        <f t="shared" si="14"/>
        <v>101200</v>
      </c>
      <c r="L941" s="31">
        <f>Table2[[#This Row],[gross sales]]-Table2[[#This Row],[net sale]]</f>
        <v>8800</v>
      </c>
      <c r="M941" s="37" t="str">
        <f>TEXT(B941,"mmm")</f>
        <v>Nov</v>
      </c>
    </row>
    <row r="942" spans="1:13">
      <c r="A942" s="16">
        <v>1941</v>
      </c>
      <c r="B942" s="15">
        <v>45722</v>
      </c>
      <c r="C942" s="16" t="s">
        <v>34</v>
      </c>
      <c r="D942" s="16" t="s">
        <v>26</v>
      </c>
      <c r="E942" s="16" t="s">
        <v>11</v>
      </c>
      <c r="F942" s="16" t="s">
        <v>20</v>
      </c>
      <c r="G942" s="16">
        <v>8</v>
      </c>
      <c r="H942" s="17">
        <v>15000</v>
      </c>
      <c r="I942" s="23">
        <v>0.08</v>
      </c>
      <c r="J942" s="28">
        <f>Table2[[#This Row],[Quantity]]*Table2[[#This Row],[Unit_Price]]</f>
        <v>120000</v>
      </c>
      <c r="K942" s="31">
        <f t="shared" si="14"/>
        <v>110400</v>
      </c>
      <c r="L942" s="31">
        <f>Table2[[#This Row],[gross sales]]-Table2[[#This Row],[net sale]]</f>
        <v>9600</v>
      </c>
      <c r="M942" s="36" t="str">
        <f>TEXT(B942,"mmm")</f>
        <v>Mar</v>
      </c>
    </row>
    <row r="943" spans="1:13">
      <c r="A943" s="19">
        <v>1942</v>
      </c>
      <c r="B943" s="18">
        <v>45756</v>
      </c>
      <c r="C943" s="19" t="s">
        <v>16</v>
      </c>
      <c r="D943" s="19" t="s">
        <v>10</v>
      </c>
      <c r="E943" s="19" t="s">
        <v>17</v>
      </c>
      <c r="F943" s="19" t="s">
        <v>27</v>
      </c>
      <c r="G943" s="19">
        <v>13</v>
      </c>
      <c r="H943" s="20">
        <v>55000</v>
      </c>
      <c r="I943" s="24">
        <v>0.08</v>
      </c>
      <c r="J943" s="28">
        <f>Table2[[#This Row],[Quantity]]*Table2[[#This Row],[Unit_Price]]</f>
        <v>715000</v>
      </c>
      <c r="K943" s="31">
        <f t="shared" si="14"/>
        <v>657800</v>
      </c>
      <c r="L943" s="31">
        <f>Table2[[#This Row],[gross sales]]-Table2[[#This Row],[net sale]]</f>
        <v>57200</v>
      </c>
      <c r="M943" s="37" t="str">
        <f>TEXT(B943,"mmm")</f>
        <v>Apr</v>
      </c>
    </row>
    <row r="944" spans="1:13">
      <c r="A944" s="16">
        <v>1943</v>
      </c>
      <c r="B944" s="15">
        <v>45678</v>
      </c>
      <c r="C944" s="16" t="s">
        <v>34</v>
      </c>
      <c r="D944" s="16" t="s">
        <v>26</v>
      </c>
      <c r="E944" s="16" t="s">
        <v>11</v>
      </c>
      <c r="F944" s="16" t="s">
        <v>20</v>
      </c>
      <c r="G944" s="16">
        <v>15</v>
      </c>
      <c r="H944" s="17">
        <v>15000</v>
      </c>
      <c r="I944" s="23">
        <v>0.12</v>
      </c>
      <c r="J944" s="28">
        <f>Table2[[#This Row],[Quantity]]*Table2[[#This Row],[Unit_Price]]</f>
        <v>225000</v>
      </c>
      <c r="K944" s="31">
        <f t="shared" si="14"/>
        <v>198000</v>
      </c>
      <c r="L944" s="31">
        <f>Table2[[#This Row],[gross sales]]-Table2[[#This Row],[net sale]]</f>
        <v>27000</v>
      </c>
      <c r="M944" s="36" t="str">
        <f>TEXT(B944,"mmm")</f>
        <v>Jan</v>
      </c>
    </row>
    <row r="945" spans="1:13">
      <c r="A945" s="19">
        <v>1944</v>
      </c>
      <c r="B945" s="18">
        <v>45755</v>
      </c>
      <c r="C945" s="19" t="s">
        <v>28</v>
      </c>
      <c r="D945" s="19" t="s">
        <v>26</v>
      </c>
      <c r="E945" s="19" t="s">
        <v>11</v>
      </c>
      <c r="F945" s="19" t="s">
        <v>23</v>
      </c>
      <c r="G945" s="19">
        <v>6</v>
      </c>
      <c r="H945" s="20">
        <v>9000</v>
      </c>
      <c r="I945" s="24">
        <v>0.12</v>
      </c>
      <c r="J945" s="28">
        <f>Table2[[#This Row],[Quantity]]*Table2[[#This Row],[Unit_Price]]</f>
        <v>54000</v>
      </c>
      <c r="K945" s="31">
        <f t="shared" si="14"/>
        <v>47520</v>
      </c>
      <c r="L945" s="31">
        <f>Table2[[#This Row],[gross sales]]-Table2[[#This Row],[net sale]]</f>
        <v>6480</v>
      </c>
      <c r="M945" s="37" t="str">
        <f>TEXT(B945,"mmm")</f>
        <v>Apr</v>
      </c>
    </row>
    <row r="946" spans="1:13">
      <c r="A946" s="16">
        <v>1945</v>
      </c>
      <c r="B946" s="15">
        <v>45897</v>
      </c>
      <c r="C946" s="16" t="s">
        <v>21</v>
      </c>
      <c r="D946" s="16" t="s">
        <v>10</v>
      </c>
      <c r="E946" s="16" t="s">
        <v>17</v>
      </c>
      <c r="F946" s="16" t="s">
        <v>24</v>
      </c>
      <c r="G946" s="16">
        <v>20</v>
      </c>
      <c r="H946" s="17">
        <v>14000</v>
      </c>
      <c r="I946" s="23">
        <v>0.12</v>
      </c>
      <c r="J946" s="28">
        <f>Table2[[#This Row],[Quantity]]*Table2[[#This Row],[Unit_Price]]</f>
        <v>280000</v>
      </c>
      <c r="K946" s="31">
        <f t="shared" si="14"/>
        <v>246400</v>
      </c>
      <c r="L946" s="31">
        <f>Table2[[#This Row],[gross sales]]-Table2[[#This Row],[net sale]]</f>
        <v>33600</v>
      </c>
      <c r="M946" s="36" t="str">
        <f>TEXT(B946,"mmm")</f>
        <v>Aug</v>
      </c>
    </row>
    <row r="947" spans="1:13">
      <c r="A947" s="19">
        <v>1946</v>
      </c>
      <c r="B947" s="18">
        <v>45929</v>
      </c>
      <c r="C947" s="19" t="s">
        <v>13</v>
      </c>
      <c r="D947" s="19" t="s">
        <v>10</v>
      </c>
      <c r="E947" s="19" t="s">
        <v>11</v>
      </c>
      <c r="F947" s="19" t="s">
        <v>23</v>
      </c>
      <c r="G947" s="19">
        <v>15</v>
      </c>
      <c r="H947" s="20">
        <v>1200</v>
      </c>
      <c r="I947" s="24">
        <v>0.08</v>
      </c>
      <c r="J947" s="28">
        <f>Table2[[#This Row],[Quantity]]*Table2[[#This Row],[Unit_Price]]</f>
        <v>18000</v>
      </c>
      <c r="K947" s="31">
        <f t="shared" si="14"/>
        <v>16560</v>
      </c>
      <c r="L947" s="31">
        <f>Table2[[#This Row],[gross sales]]-Table2[[#This Row],[net sale]]</f>
        <v>1440</v>
      </c>
      <c r="M947" s="37" t="str">
        <f>TEXT(B947,"mmm")</f>
        <v>Sep</v>
      </c>
    </row>
    <row r="948" spans="1:13">
      <c r="A948" s="16">
        <v>1947</v>
      </c>
      <c r="B948" s="15">
        <v>45890</v>
      </c>
      <c r="C948" s="16" t="s">
        <v>16</v>
      </c>
      <c r="D948" s="16" t="s">
        <v>10</v>
      </c>
      <c r="E948" s="16" t="s">
        <v>17</v>
      </c>
      <c r="F948" s="16" t="s">
        <v>18</v>
      </c>
      <c r="G948" s="16">
        <v>17</v>
      </c>
      <c r="H948" s="17">
        <v>55000</v>
      </c>
      <c r="I948" s="23">
        <v>0.1</v>
      </c>
      <c r="J948" s="28">
        <f>Table2[[#This Row],[Quantity]]*Table2[[#This Row],[Unit_Price]]</f>
        <v>935000</v>
      </c>
      <c r="K948" s="31">
        <f t="shared" si="14"/>
        <v>841500</v>
      </c>
      <c r="L948" s="31">
        <f>Table2[[#This Row],[gross sales]]-Table2[[#This Row],[net sale]]</f>
        <v>93500</v>
      </c>
      <c r="M948" s="36" t="str">
        <f>TEXT(B948,"mmm")</f>
        <v>Aug</v>
      </c>
    </row>
    <row r="949" spans="1:13">
      <c r="A949" s="19">
        <v>1948</v>
      </c>
      <c r="B949" s="18">
        <v>45975</v>
      </c>
      <c r="C949" s="19" t="s">
        <v>38</v>
      </c>
      <c r="D949" s="19" t="s">
        <v>10</v>
      </c>
      <c r="E949" s="19" t="s">
        <v>17</v>
      </c>
      <c r="F949" s="19" t="s">
        <v>23</v>
      </c>
      <c r="G949" s="19">
        <v>12</v>
      </c>
      <c r="H949" s="20">
        <v>42000</v>
      </c>
      <c r="I949" s="24">
        <v>0.12</v>
      </c>
      <c r="J949" s="28">
        <f>Table2[[#This Row],[Quantity]]*Table2[[#This Row],[Unit_Price]]</f>
        <v>504000</v>
      </c>
      <c r="K949" s="31">
        <f t="shared" si="14"/>
        <v>443520</v>
      </c>
      <c r="L949" s="31">
        <f>Table2[[#This Row],[gross sales]]-Table2[[#This Row],[net sale]]</f>
        <v>60480</v>
      </c>
      <c r="M949" s="37" t="str">
        <f>TEXT(B949,"mmm")</f>
        <v>Nov</v>
      </c>
    </row>
    <row r="950" spans="1:13">
      <c r="A950" s="16">
        <v>1949</v>
      </c>
      <c r="B950" s="15">
        <v>45690</v>
      </c>
      <c r="C950" s="16" t="s">
        <v>29</v>
      </c>
      <c r="D950" s="16" t="s">
        <v>30</v>
      </c>
      <c r="E950" s="16" t="s">
        <v>17</v>
      </c>
      <c r="F950" s="16" t="s">
        <v>20</v>
      </c>
      <c r="G950" s="16">
        <v>18</v>
      </c>
      <c r="H950" s="16">
        <v>250</v>
      </c>
      <c r="I950" s="23">
        <v>0.1</v>
      </c>
      <c r="J950" s="28">
        <f>Table2[[#This Row],[Quantity]]*Table2[[#This Row],[Unit_Price]]</f>
        <v>4500</v>
      </c>
      <c r="K950" s="31">
        <f t="shared" si="14"/>
        <v>4050</v>
      </c>
      <c r="L950" s="31">
        <f>Table2[[#This Row],[gross sales]]-Table2[[#This Row],[net sale]]</f>
        <v>450</v>
      </c>
      <c r="M950" s="36" t="str">
        <f>TEXT(B950,"mmm")</f>
        <v>Feb</v>
      </c>
    </row>
    <row r="951" spans="1:13">
      <c r="A951" s="19">
        <v>1950</v>
      </c>
      <c r="B951" s="18">
        <v>45463</v>
      </c>
      <c r="C951" s="19" t="s">
        <v>13</v>
      </c>
      <c r="D951" s="19" t="s">
        <v>10</v>
      </c>
      <c r="E951" s="19" t="s">
        <v>11</v>
      </c>
      <c r="F951" s="19" t="s">
        <v>15</v>
      </c>
      <c r="G951" s="19">
        <v>20</v>
      </c>
      <c r="H951" s="20">
        <v>1200</v>
      </c>
      <c r="I951" s="24">
        <v>0.08</v>
      </c>
      <c r="J951" s="28">
        <f>Table2[[#This Row],[Quantity]]*Table2[[#This Row],[Unit_Price]]</f>
        <v>24000</v>
      </c>
      <c r="K951" s="31">
        <f t="shared" si="14"/>
        <v>22080</v>
      </c>
      <c r="L951" s="31">
        <f>Table2[[#This Row],[gross sales]]-Table2[[#This Row],[net sale]]</f>
        <v>1920</v>
      </c>
      <c r="M951" s="37" t="str">
        <f>TEXT(B951,"mmm")</f>
        <v>Jun</v>
      </c>
    </row>
    <row r="952" spans="1:13">
      <c r="A952" s="16">
        <v>1951</v>
      </c>
      <c r="B952" s="15">
        <v>45986</v>
      </c>
      <c r="C952" s="16" t="s">
        <v>33</v>
      </c>
      <c r="D952" s="16" t="s">
        <v>10</v>
      </c>
      <c r="E952" s="16" t="s">
        <v>14</v>
      </c>
      <c r="F952" s="16" t="s">
        <v>18</v>
      </c>
      <c r="G952" s="16">
        <v>4</v>
      </c>
      <c r="H952" s="17">
        <v>2500</v>
      </c>
      <c r="I952" s="23">
        <v>0</v>
      </c>
      <c r="J952" s="28">
        <f>Table2[[#This Row],[Quantity]]*Table2[[#This Row],[Unit_Price]]</f>
        <v>10000</v>
      </c>
      <c r="K952" s="31">
        <f t="shared" si="14"/>
        <v>10000</v>
      </c>
      <c r="L952" s="31">
        <f>Table2[[#This Row],[gross sales]]-Table2[[#This Row],[net sale]]</f>
        <v>0</v>
      </c>
      <c r="M952" s="36" t="str">
        <f>TEXT(B952,"mmm")</f>
        <v>Nov</v>
      </c>
    </row>
    <row r="953" spans="1:13">
      <c r="A953" s="19">
        <v>1952</v>
      </c>
      <c r="B953" s="18">
        <v>45724</v>
      </c>
      <c r="C953" s="19" t="s">
        <v>13</v>
      </c>
      <c r="D953" s="19" t="s">
        <v>10</v>
      </c>
      <c r="E953" s="19" t="s">
        <v>14</v>
      </c>
      <c r="F953" s="19" t="s">
        <v>20</v>
      </c>
      <c r="G953" s="19">
        <v>2</v>
      </c>
      <c r="H953" s="20">
        <v>1200</v>
      </c>
      <c r="I953" s="24">
        <v>0.05</v>
      </c>
      <c r="J953" s="28">
        <f>Table2[[#This Row],[Quantity]]*Table2[[#This Row],[Unit_Price]]</f>
        <v>2400</v>
      </c>
      <c r="K953" s="31">
        <f t="shared" si="14"/>
        <v>2280</v>
      </c>
      <c r="L953" s="31">
        <f>Table2[[#This Row],[gross sales]]-Table2[[#This Row],[net sale]]</f>
        <v>120</v>
      </c>
      <c r="M953" s="37" t="str">
        <f>TEXT(B953,"mmm")</f>
        <v>Mar</v>
      </c>
    </row>
    <row r="954" spans="1:13">
      <c r="A954" s="16">
        <v>1953</v>
      </c>
      <c r="B954" s="15">
        <v>45756</v>
      </c>
      <c r="C954" s="16" t="s">
        <v>9</v>
      </c>
      <c r="D954" s="16" t="s">
        <v>10</v>
      </c>
      <c r="E954" s="16" t="s">
        <v>22</v>
      </c>
      <c r="F954" s="16" t="s">
        <v>20</v>
      </c>
      <c r="G954" s="16">
        <v>2</v>
      </c>
      <c r="H954" s="17">
        <v>18000</v>
      </c>
      <c r="I954" s="23">
        <v>0.12</v>
      </c>
      <c r="J954" s="28">
        <f>Table2[[#This Row],[Quantity]]*Table2[[#This Row],[Unit_Price]]</f>
        <v>36000</v>
      </c>
      <c r="K954" s="31">
        <f t="shared" si="14"/>
        <v>31680</v>
      </c>
      <c r="L954" s="31">
        <f>Table2[[#This Row],[gross sales]]-Table2[[#This Row],[net sale]]</f>
        <v>4320</v>
      </c>
      <c r="M954" s="36" t="str">
        <f>TEXT(B954,"mmm")</f>
        <v>Apr</v>
      </c>
    </row>
    <row r="955" spans="1:13">
      <c r="A955" s="19">
        <v>1954</v>
      </c>
      <c r="B955" s="18">
        <v>45927</v>
      </c>
      <c r="C955" s="19" t="s">
        <v>28</v>
      </c>
      <c r="D955" s="19" t="s">
        <v>26</v>
      </c>
      <c r="E955" s="19" t="s">
        <v>14</v>
      </c>
      <c r="F955" s="19" t="s">
        <v>23</v>
      </c>
      <c r="G955" s="19">
        <v>19</v>
      </c>
      <c r="H955" s="20">
        <v>9000</v>
      </c>
      <c r="I955" s="24">
        <v>0.08</v>
      </c>
      <c r="J955" s="28">
        <f>Table2[[#This Row],[Quantity]]*Table2[[#This Row],[Unit_Price]]</f>
        <v>171000</v>
      </c>
      <c r="K955" s="31">
        <f t="shared" si="14"/>
        <v>157320</v>
      </c>
      <c r="L955" s="31">
        <f>Table2[[#This Row],[gross sales]]-Table2[[#This Row],[net sale]]</f>
        <v>13680</v>
      </c>
      <c r="M955" s="37" t="str">
        <f>TEXT(B955,"mmm")</f>
        <v>Sep</v>
      </c>
    </row>
    <row r="956" spans="1:13">
      <c r="A956" s="16">
        <v>1955</v>
      </c>
      <c r="B956" s="15">
        <v>45771</v>
      </c>
      <c r="C956" s="16" t="s">
        <v>28</v>
      </c>
      <c r="D956" s="16" t="s">
        <v>26</v>
      </c>
      <c r="E956" s="16" t="s">
        <v>17</v>
      </c>
      <c r="F956" s="16" t="s">
        <v>20</v>
      </c>
      <c r="G956" s="16">
        <v>3</v>
      </c>
      <c r="H956" s="17">
        <v>9000</v>
      </c>
      <c r="I956" s="23">
        <v>0</v>
      </c>
      <c r="J956" s="28">
        <f>Table2[[#This Row],[Quantity]]*Table2[[#This Row],[Unit_Price]]</f>
        <v>27000</v>
      </c>
      <c r="K956" s="31">
        <f t="shared" si="14"/>
        <v>27000</v>
      </c>
      <c r="L956" s="31">
        <f>Table2[[#This Row],[gross sales]]-Table2[[#This Row],[net sale]]</f>
        <v>0</v>
      </c>
      <c r="M956" s="36" t="str">
        <f>TEXT(B956,"mmm")</f>
        <v>Apr</v>
      </c>
    </row>
    <row r="957" spans="1:13">
      <c r="A957" s="19">
        <v>1956</v>
      </c>
      <c r="B957" s="18">
        <v>45698</v>
      </c>
      <c r="C957" s="19" t="s">
        <v>34</v>
      </c>
      <c r="D957" s="19" t="s">
        <v>26</v>
      </c>
      <c r="E957" s="19" t="s">
        <v>22</v>
      </c>
      <c r="F957" s="19" t="s">
        <v>23</v>
      </c>
      <c r="G957" s="19">
        <v>2</v>
      </c>
      <c r="H957" s="20">
        <v>15000</v>
      </c>
      <c r="I957" s="24">
        <v>0.08</v>
      </c>
      <c r="J957" s="28">
        <f>Table2[[#This Row],[Quantity]]*Table2[[#This Row],[Unit_Price]]</f>
        <v>30000</v>
      </c>
      <c r="K957" s="31">
        <f t="shared" si="14"/>
        <v>27600</v>
      </c>
      <c r="L957" s="31">
        <f>Table2[[#This Row],[gross sales]]-Table2[[#This Row],[net sale]]</f>
        <v>2400</v>
      </c>
      <c r="M957" s="37" t="str">
        <f>TEXT(B957,"mmm")</f>
        <v>Feb</v>
      </c>
    </row>
    <row r="958" spans="1:13">
      <c r="A958" s="16">
        <v>1957</v>
      </c>
      <c r="B958" s="15">
        <v>46020</v>
      </c>
      <c r="C958" s="16" t="s">
        <v>16</v>
      </c>
      <c r="D958" s="16" t="s">
        <v>10</v>
      </c>
      <c r="E958" s="16" t="s">
        <v>14</v>
      </c>
      <c r="F958" s="16" t="s">
        <v>24</v>
      </c>
      <c r="G958" s="16">
        <v>20</v>
      </c>
      <c r="H958" s="17">
        <v>55000</v>
      </c>
      <c r="I958" s="23">
        <v>0.08</v>
      </c>
      <c r="J958" s="28">
        <f>Table2[[#This Row],[Quantity]]*Table2[[#This Row],[Unit_Price]]</f>
        <v>1100000</v>
      </c>
      <c r="K958" s="31">
        <f t="shared" si="14"/>
        <v>1012000</v>
      </c>
      <c r="L958" s="31">
        <f>Table2[[#This Row],[gross sales]]-Table2[[#This Row],[net sale]]</f>
        <v>88000</v>
      </c>
      <c r="M958" s="36" t="str">
        <f>TEXT(B958,"mmm")</f>
        <v>Dec</v>
      </c>
    </row>
    <row r="959" spans="1:13">
      <c r="A959" s="19">
        <v>1958</v>
      </c>
      <c r="B959" s="18">
        <v>45813</v>
      </c>
      <c r="C959" s="19" t="s">
        <v>9</v>
      </c>
      <c r="D959" s="19" t="s">
        <v>10</v>
      </c>
      <c r="E959" s="19" t="s">
        <v>14</v>
      </c>
      <c r="F959" s="19" t="s">
        <v>24</v>
      </c>
      <c r="G959" s="19">
        <v>7</v>
      </c>
      <c r="H959" s="20">
        <v>18000</v>
      </c>
      <c r="I959" s="24">
        <v>0.12</v>
      </c>
      <c r="J959" s="28">
        <f>Table2[[#This Row],[Quantity]]*Table2[[#This Row],[Unit_Price]]</f>
        <v>126000</v>
      </c>
      <c r="K959" s="31">
        <f t="shared" si="14"/>
        <v>110880</v>
      </c>
      <c r="L959" s="31">
        <f>Table2[[#This Row],[gross sales]]-Table2[[#This Row],[net sale]]</f>
        <v>15120</v>
      </c>
      <c r="M959" s="37" t="str">
        <f>TEXT(B959,"mmm")</f>
        <v>Jun</v>
      </c>
    </row>
    <row r="960" spans="1:13">
      <c r="A960" s="16">
        <v>1959</v>
      </c>
      <c r="B960" s="15">
        <v>45776</v>
      </c>
      <c r="C960" s="16" t="s">
        <v>25</v>
      </c>
      <c r="D960" s="16" t="s">
        <v>26</v>
      </c>
      <c r="E960" s="16" t="s">
        <v>17</v>
      </c>
      <c r="F960" s="16" t="s">
        <v>12</v>
      </c>
      <c r="G960" s="16">
        <v>13</v>
      </c>
      <c r="H960" s="17">
        <v>11000</v>
      </c>
      <c r="I960" s="23">
        <v>0.05</v>
      </c>
      <c r="J960" s="28">
        <f>Table2[[#This Row],[Quantity]]*Table2[[#This Row],[Unit_Price]]</f>
        <v>143000</v>
      </c>
      <c r="K960" s="31">
        <f t="shared" si="14"/>
        <v>135850</v>
      </c>
      <c r="L960" s="31">
        <f>Table2[[#This Row],[gross sales]]-Table2[[#This Row],[net sale]]</f>
        <v>7150</v>
      </c>
      <c r="M960" s="36" t="str">
        <f>TEXT(B960,"mmm")</f>
        <v>Apr</v>
      </c>
    </row>
    <row r="961" spans="1:13">
      <c r="A961" s="19">
        <v>1960</v>
      </c>
      <c r="B961" s="18">
        <v>45949</v>
      </c>
      <c r="C961" s="19" t="s">
        <v>29</v>
      </c>
      <c r="D961" s="19" t="s">
        <v>30</v>
      </c>
      <c r="E961" s="19" t="s">
        <v>22</v>
      </c>
      <c r="F961" s="19" t="s">
        <v>24</v>
      </c>
      <c r="G961" s="19">
        <v>6</v>
      </c>
      <c r="H961" s="19">
        <v>250</v>
      </c>
      <c r="I961" s="24">
        <v>0.12</v>
      </c>
      <c r="J961" s="28">
        <f>Table2[[#This Row],[Quantity]]*Table2[[#This Row],[Unit_Price]]</f>
        <v>1500</v>
      </c>
      <c r="K961" s="31">
        <f t="shared" si="14"/>
        <v>1320</v>
      </c>
      <c r="L961" s="31">
        <f>Table2[[#This Row],[gross sales]]-Table2[[#This Row],[net sale]]</f>
        <v>180</v>
      </c>
      <c r="M961" s="37" t="str">
        <f>TEXT(B961,"mmm")</f>
        <v>Oct</v>
      </c>
    </row>
    <row r="962" spans="1:13">
      <c r="A962" s="16">
        <v>1961</v>
      </c>
      <c r="B962" s="15">
        <v>45984</v>
      </c>
      <c r="C962" s="16" t="s">
        <v>28</v>
      </c>
      <c r="D962" s="16" t="s">
        <v>26</v>
      </c>
      <c r="E962" s="16" t="s">
        <v>22</v>
      </c>
      <c r="F962" s="16" t="s">
        <v>15</v>
      </c>
      <c r="G962" s="16">
        <v>12</v>
      </c>
      <c r="H962" s="17">
        <v>9000</v>
      </c>
      <c r="I962" s="23">
        <v>0.15</v>
      </c>
      <c r="J962" s="28">
        <f>Table2[[#This Row],[Quantity]]*Table2[[#This Row],[Unit_Price]]</f>
        <v>108000</v>
      </c>
      <c r="K962" s="31">
        <f t="shared" ref="K962:K1025" si="15">J962*(1-I962)</f>
        <v>91800</v>
      </c>
      <c r="L962" s="31">
        <f>Table2[[#This Row],[gross sales]]-Table2[[#This Row],[net sale]]</f>
        <v>16200</v>
      </c>
      <c r="M962" s="36" t="str">
        <f>TEXT(B962,"mmm")</f>
        <v>Nov</v>
      </c>
    </row>
    <row r="963" spans="1:13">
      <c r="A963" s="19">
        <v>1962</v>
      </c>
      <c r="B963" s="18">
        <v>45711</v>
      </c>
      <c r="C963" s="19" t="s">
        <v>13</v>
      </c>
      <c r="D963" s="19" t="s">
        <v>10</v>
      </c>
      <c r="E963" s="19" t="s">
        <v>22</v>
      </c>
      <c r="F963" s="19" t="s">
        <v>23</v>
      </c>
      <c r="G963" s="19">
        <v>6</v>
      </c>
      <c r="H963" s="20">
        <v>1200</v>
      </c>
      <c r="I963" s="24">
        <v>0.12</v>
      </c>
      <c r="J963" s="28">
        <f>Table2[[#This Row],[Quantity]]*Table2[[#This Row],[Unit_Price]]</f>
        <v>7200</v>
      </c>
      <c r="K963" s="31">
        <f t="shared" si="15"/>
        <v>6336</v>
      </c>
      <c r="L963" s="31">
        <f>Table2[[#This Row],[gross sales]]-Table2[[#This Row],[net sale]]</f>
        <v>864</v>
      </c>
      <c r="M963" s="37" t="str">
        <f>TEXT(B963,"mmm")</f>
        <v>Feb</v>
      </c>
    </row>
    <row r="964" spans="1:13">
      <c r="A964" s="16">
        <v>1963</v>
      </c>
      <c r="B964" s="15">
        <v>45994</v>
      </c>
      <c r="C964" s="16" t="s">
        <v>13</v>
      </c>
      <c r="D964" s="16" t="s">
        <v>10</v>
      </c>
      <c r="E964" s="16" t="s">
        <v>22</v>
      </c>
      <c r="F964" s="16" t="s">
        <v>23</v>
      </c>
      <c r="G964" s="16">
        <v>18</v>
      </c>
      <c r="H964" s="17">
        <v>1200</v>
      </c>
      <c r="I964" s="23">
        <v>0.12</v>
      </c>
      <c r="J964" s="28">
        <f>Table2[[#This Row],[Quantity]]*Table2[[#This Row],[Unit_Price]]</f>
        <v>21600</v>
      </c>
      <c r="K964" s="31">
        <f t="shared" si="15"/>
        <v>19008</v>
      </c>
      <c r="L964" s="31">
        <f>Table2[[#This Row],[gross sales]]-Table2[[#This Row],[net sale]]</f>
        <v>2592</v>
      </c>
      <c r="M964" s="36" t="str">
        <f>TEXT(B964,"mmm")</f>
        <v>Dec</v>
      </c>
    </row>
    <row r="965" spans="1:13">
      <c r="A965" s="19">
        <v>1964</v>
      </c>
      <c r="B965" s="18">
        <v>45819</v>
      </c>
      <c r="C965" s="19" t="s">
        <v>25</v>
      </c>
      <c r="D965" s="19" t="s">
        <v>26</v>
      </c>
      <c r="E965" s="19" t="s">
        <v>22</v>
      </c>
      <c r="F965" s="19" t="s">
        <v>15</v>
      </c>
      <c r="G965" s="19">
        <v>11</v>
      </c>
      <c r="H965" s="20">
        <v>11000</v>
      </c>
      <c r="I965" s="24">
        <v>0.08</v>
      </c>
      <c r="J965" s="28">
        <f>Table2[[#This Row],[Quantity]]*Table2[[#This Row],[Unit_Price]]</f>
        <v>121000</v>
      </c>
      <c r="K965" s="31">
        <f t="shared" si="15"/>
        <v>111320</v>
      </c>
      <c r="L965" s="31">
        <f>Table2[[#This Row],[gross sales]]-Table2[[#This Row],[net sale]]</f>
        <v>9680</v>
      </c>
      <c r="M965" s="37" t="str">
        <f>TEXT(B965,"mmm")</f>
        <v>Jun</v>
      </c>
    </row>
    <row r="966" spans="1:13">
      <c r="A966" s="16">
        <v>1965</v>
      </c>
      <c r="B966" s="15">
        <v>45823</v>
      </c>
      <c r="C966" s="16" t="s">
        <v>28</v>
      </c>
      <c r="D966" s="16" t="s">
        <v>26</v>
      </c>
      <c r="E966" s="16" t="s">
        <v>17</v>
      </c>
      <c r="F966" s="16" t="s">
        <v>15</v>
      </c>
      <c r="G966" s="16">
        <v>8</v>
      </c>
      <c r="H966" s="17">
        <v>9000</v>
      </c>
      <c r="I966" s="23">
        <v>0.12</v>
      </c>
      <c r="J966" s="28">
        <f>Table2[[#This Row],[Quantity]]*Table2[[#This Row],[Unit_Price]]</f>
        <v>72000</v>
      </c>
      <c r="K966" s="31">
        <f t="shared" si="15"/>
        <v>63360</v>
      </c>
      <c r="L966" s="31">
        <f>Table2[[#This Row],[gross sales]]-Table2[[#This Row],[net sale]]</f>
        <v>8640</v>
      </c>
      <c r="M966" s="36" t="str">
        <f>TEXT(B966,"mmm")</f>
        <v>Jun</v>
      </c>
    </row>
    <row r="967" spans="1:13">
      <c r="A967" s="19">
        <v>1966</v>
      </c>
      <c r="B967" s="18">
        <v>45939</v>
      </c>
      <c r="C967" s="19" t="s">
        <v>37</v>
      </c>
      <c r="D967" s="19" t="s">
        <v>36</v>
      </c>
      <c r="E967" s="19" t="s">
        <v>22</v>
      </c>
      <c r="F967" s="19" t="s">
        <v>20</v>
      </c>
      <c r="G967" s="19">
        <v>9</v>
      </c>
      <c r="H967" s="20">
        <v>1800</v>
      </c>
      <c r="I967" s="24">
        <v>0.08</v>
      </c>
      <c r="J967" s="28">
        <f>Table2[[#This Row],[Quantity]]*Table2[[#This Row],[Unit_Price]]</f>
        <v>16200</v>
      </c>
      <c r="K967" s="31">
        <f t="shared" si="15"/>
        <v>14904</v>
      </c>
      <c r="L967" s="31">
        <f>Table2[[#This Row],[gross sales]]-Table2[[#This Row],[net sale]]</f>
        <v>1296</v>
      </c>
      <c r="M967" s="37" t="str">
        <f>TEXT(B967,"mmm")</f>
        <v>Oct</v>
      </c>
    </row>
    <row r="968" spans="1:13">
      <c r="A968" s="16">
        <v>1967</v>
      </c>
      <c r="B968" s="15">
        <v>45861</v>
      </c>
      <c r="C968" s="16" t="s">
        <v>16</v>
      </c>
      <c r="D968" s="16" t="s">
        <v>10</v>
      </c>
      <c r="E968" s="16" t="s">
        <v>14</v>
      </c>
      <c r="F968" s="16" t="s">
        <v>32</v>
      </c>
      <c r="G968" s="16">
        <v>2</v>
      </c>
      <c r="H968" s="17">
        <v>55000</v>
      </c>
      <c r="I968" s="23">
        <v>0.08</v>
      </c>
      <c r="J968" s="28">
        <f>Table2[[#This Row],[Quantity]]*Table2[[#This Row],[Unit_Price]]</f>
        <v>110000</v>
      </c>
      <c r="K968" s="31">
        <f t="shared" si="15"/>
        <v>101200</v>
      </c>
      <c r="L968" s="31">
        <f>Table2[[#This Row],[gross sales]]-Table2[[#This Row],[net sale]]</f>
        <v>8800</v>
      </c>
      <c r="M968" s="36" t="str">
        <f>TEXT(B968,"mmm")</f>
        <v>Jul</v>
      </c>
    </row>
    <row r="969" spans="1:13">
      <c r="A969" s="19">
        <v>1968</v>
      </c>
      <c r="B969" s="18">
        <v>45812</v>
      </c>
      <c r="C969" s="19" t="s">
        <v>16</v>
      </c>
      <c r="D969" s="19" t="s">
        <v>10</v>
      </c>
      <c r="E969" s="19" t="s">
        <v>17</v>
      </c>
      <c r="F969" s="19" t="s">
        <v>23</v>
      </c>
      <c r="G969" s="19">
        <v>10</v>
      </c>
      <c r="H969" s="20">
        <v>55000</v>
      </c>
      <c r="I969" s="24">
        <v>0.05</v>
      </c>
      <c r="J969" s="28">
        <f>Table2[[#This Row],[Quantity]]*Table2[[#This Row],[Unit_Price]]</f>
        <v>550000</v>
      </c>
      <c r="K969" s="31">
        <f t="shared" si="15"/>
        <v>522500</v>
      </c>
      <c r="L969" s="31">
        <f>Table2[[#This Row],[gross sales]]-Table2[[#This Row],[net sale]]</f>
        <v>27500</v>
      </c>
      <c r="M969" s="37" t="str">
        <f>TEXT(B969,"mmm")</f>
        <v>Jun</v>
      </c>
    </row>
    <row r="970" spans="1:13">
      <c r="A970" s="16">
        <v>1969</v>
      </c>
      <c r="B970" s="15">
        <v>45669</v>
      </c>
      <c r="C970" s="16" t="s">
        <v>35</v>
      </c>
      <c r="D970" s="16" t="s">
        <v>36</v>
      </c>
      <c r="E970" s="16" t="s">
        <v>17</v>
      </c>
      <c r="F970" s="16" t="s">
        <v>24</v>
      </c>
      <c r="G970" s="16">
        <v>9</v>
      </c>
      <c r="H970" s="17">
        <v>3500</v>
      </c>
      <c r="I970" s="23">
        <v>0.12</v>
      </c>
      <c r="J970" s="28">
        <f>Table2[[#This Row],[Quantity]]*Table2[[#This Row],[Unit_Price]]</f>
        <v>31500</v>
      </c>
      <c r="K970" s="31">
        <f t="shared" si="15"/>
        <v>27720</v>
      </c>
      <c r="L970" s="31">
        <f>Table2[[#This Row],[gross sales]]-Table2[[#This Row],[net sale]]</f>
        <v>3780</v>
      </c>
      <c r="M970" s="36" t="str">
        <f>TEXT(B970,"mmm")</f>
        <v>Jan</v>
      </c>
    </row>
    <row r="971" spans="1:13">
      <c r="A971" s="19">
        <v>1970</v>
      </c>
      <c r="B971" s="18">
        <v>45677</v>
      </c>
      <c r="C971" s="19" t="s">
        <v>34</v>
      </c>
      <c r="D971" s="19" t="s">
        <v>26</v>
      </c>
      <c r="E971" s="19" t="s">
        <v>17</v>
      </c>
      <c r="F971" s="19" t="s">
        <v>27</v>
      </c>
      <c r="G971" s="19">
        <v>12</v>
      </c>
      <c r="H971" s="20">
        <v>15000</v>
      </c>
      <c r="I971" s="24">
        <v>0.05</v>
      </c>
      <c r="J971" s="28">
        <f>Table2[[#This Row],[Quantity]]*Table2[[#This Row],[Unit_Price]]</f>
        <v>180000</v>
      </c>
      <c r="K971" s="31">
        <f t="shared" si="15"/>
        <v>171000</v>
      </c>
      <c r="L971" s="31">
        <f>Table2[[#This Row],[gross sales]]-Table2[[#This Row],[net sale]]</f>
        <v>9000</v>
      </c>
      <c r="M971" s="37" t="str">
        <f>TEXT(B971,"mmm")</f>
        <v>Jan</v>
      </c>
    </row>
    <row r="972" spans="1:13">
      <c r="A972" s="16">
        <v>1971</v>
      </c>
      <c r="B972" s="15">
        <v>45845</v>
      </c>
      <c r="C972" s="16" t="s">
        <v>37</v>
      </c>
      <c r="D972" s="16" t="s">
        <v>36</v>
      </c>
      <c r="E972" s="16" t="s">
        <v>17</v>
      </c>
      <c r="F972" s="16" t="s">
        <v>27</v>
      </c>
      <c r="G972" s="16">
        <v>19</v>
      </c>
      <c r="H972" s="17">
        <v>1800</v>
      </c>
      <c r="I972" s="23">
        <v>0.05</v>
      </c>
      <c r="J972" s="28">
        <f>Table2[[#This Row],[Quantity]]*Table2[[#This Row],[Unit_Price]]</f>
        <v>34200</v>
      </c>
      <c r="K972" s="31">
        <f t="shared" si="15"/>
        <v>32490</v>
      </c>
      <c r="L972" s="31">
        <f>Table2[[#This Row],[gross sales]]-Table2[[#This Row],[net sale]]</f>
        <v>1710</v>
      </c>
      <c r="M972" s="36" t="str">
        <f>TEXT(B972,"mmm")</f>
        <v>Jul</v>
      </c>
    </row>
    <row r="973" spans="1:13">
      <c r="A973" s="19">
        <v>1972</v>
      </c>
      <c r="B973" s="18">
        <v>45811</v>
      </c>
      <c r="C973" s="19" t="s">
        <v>9</v>
      </c>
      <c r="D973" s="19" t="s">
        <v>10</v>
      </c>
      <c r="E973" s="19" t="s">
        <v>17</v>
      </c>
      <c r="F973" s="19" t="s">
        <v>24</v>
      </c>
      <c r="G973" s="19">
        <v>19</v>
      </c>
      <c r="H973" s="20">
        <v>18000</v>
      </c>
      <c r="I973" s="24">
        <v>0.1</v>
      </c>
      <c r="J973" s="28">
        <f>Table2[[#This Row],[Quantity]]*Table2[[#This Row],[Unit_Price]]</f>
        <v>342000</v>
      </c>
      <c r="K973" s="31">
        <f t="shared" si="15"/>
        <v>307800</v>
      </c>
      <c r="L973" s="31">
        <f>Table2[[#This Row],[gross sales]]-Table2[[#This Row],[net sale]]</f>
        <v>34200</v>
      </c>
      <c r="M973" s="37" t="str">
        <f>TEXT(B973,"mmm")</f>
        <v>Jun</v>
      </c>
    </row>
    <row r="974" spans="1:13">
      <c r="A974" s="16">
        <v>1973</v>
      </c>
      <c r="B974" s="15">
        <v>45824</v>
      </c>
      <c r="C974" s="16" t="s">
        <v>35</v>
      </c>
      <c r="D974" s="16" t="s">
        <v>36</v>
      </c>
      <c r="E974" s="16" t="s">
        <v>22</v>
      </c>
      <c r="F974" s="16" t="s">
        <v>24</v>
      </c>
      <c r="G974" s="16">
        <v>16</v>
      </c>
      <c r="H974" s="17">
        <v>3500</v>
      </c>
      <c r="I974" s="23">
        <v>0.05</v>
      </c>
      <c r="J974" s="28">
        <f>Table2[[#This Row],[Quantity]]*Table2[[#This Row],[Unit_Price]]</f>
        <v>56000</v>
      </c>
      <c r="K974" s="31">
        <f t="shared" si="15"/>
        <v>53200</v>
      </c>
      <c r="L974" s="31">
        <f>Table2[[#This Row],[gross sales]]-Table2[[#This Row],[net sale]]</f>
        <v>2800</v>
      </c>
      <c r="M974" s="36" t="str">
        <f>TEXT(B974,"mmm")</f>
        <v>Jun</v>
      </c>
    </row>
    <row r="975" spans="1:13">
      <c r="A975" s="19">
        <v>1974</v>
      </c>
      <c r="B975" s="18">
        <v>45962</v>
      </c>
      <c r="C975" s="19" t="s">
        <v>29</v>
      </c>
      <c r="D975" s="19" t="s">
        <v>30</v>
      </c>
      <c r="E975" s="19" t="s">
        <v>22</v>
      </c>
      <c r="F975" s="19" t="s">
        <v>24</v>
      </c>
      <c r="G975" s="19">
        <v>10</v>
      </c>
      <c r="H975" s="19">
        <v>250</v>
      </c>
      <c r="I975" s="24">
        <v>0</v>
      </c>
      <c r="J975" s="28">
        <f>Table2[[#This Row],[Quantity]]*Table2[[#This Row],[Unit_Price]]</f>
        <v>2500</v>
      </c>
      <c r="K975" s="31">
        <f t="shared" si="15"/>
        <v>2500</v>
      </c>
      <c r="L975" s="31">
        <f>Table2[[#This Row],[gross sales]]-Table2[[#This Row],[net sale]]</f>
        <v>0</v>
      </c>
      <c r="M975" s="37" t="str">
        <f>TEXT(B975,"mmm")</f>
        <v>Nov</v>
      </c>
    </row>
    <row r="976" spans="1:13">
      <c r="A976" s="16">
        <v>1975</v>
      </c>
      <c r="B976" s="15">
        <v>45686</v>
      </c>
      <c r="C976" s="16" t="s">
        <v>37</v>
      </c>
      <c r="D976" s="16" t="s">
        <v>36</v>
      </c>
      <c r="E976" s="16" t="s">
        <v>22</v>
      </c>
      <c r="F976" s="16" t="s">
        <v>15</v>
      </c>
      <c r="G976" s="16">
        <v>11</v>
      </c>
      <c r="H976" s="17">
        <v>1800</v>
      </c>
      <c r="I976" s="23">
        <v>0.08</v>
      </c>
      <c r="J976" s="28">
        <f>Table2[[#This Row],[Quantity]]*Table2[[#This Row],[Unit_Price]]</f>
        <v>19800</v>
      </c>
      <c r="K976" s="31">
        <f t="shared" si="15"/>
        <v>18216</v>
      </c>
      <c r="L976" s="31">
        <f>Table2[[#This Row],[gross sales]]-Table2[[#This Row],[net sale]]</f>
        <v>1584</v>
      </c>
      <c r="M976" s="36" t="str">
        <f>TEXT(B976,"mmm")</f>
        <v>Jan</v>
      </c>
    </row>
    <row r="977" spans="1:13">
      <c r="A977" s="19">
        <v>1976</v>
      </c>
      <c r="B977" s="18">
        <v>45719</v>
      </c>
      <c r="C977" s="19" t="s">
        <v>38</v>
      </c>
      <c r="D977" s="19" t="s">
        <v>10</v>
      </c>
      <c r="E977" s="19" t="s">
        <v>14</v>
      </c>
      <c r="F977" s="19" t="s">
        <v>15</v>
      </c>
      <c r="G977" s="19">
        <v>8</v>
      </c>
      <c r="H977" s="20">
        <v>42000</v>
      </c>
      <c r="I977" s="24">
        <v>0.15</v>
      </c>
      <c r="J977" s="28">
        <f>Table2[[#This Row],[Quantity]]*Table2[[#This Row],[Unit_Price]]</f>
        <v>336000</v>
      </c>
      <c r="K977" s="31">
        <f t="shared" si="15"/>
        <v>285600</v>
      </c>
      <c r="L977" s="31">
        <f>Table2[[#This Row],[gross sales]]-Table2[[#This Row],[net sale]]</f>
        <v>50400</v>
      </c>
      <c r="M977" s="37" t="str">
        <f>TEXT(B977,"mmm")</f>
        <v>Mar</v>
      </c>
    </row>
    <row r="978" spans="1:13">
      <c r="A978" s="16">
        <v>1977</v>
      </c>
      <c r="B978" s="15">
        <v>45685</v>
      </c>
      <c r="C978" s="16" t="s">
        <v>21</v>
      </c>
      <c r="D978" s="16" t="s">
        <v>10</v>
      </c>
      <c r="E978" s="16" t="s">
        <v>11</v>
      </c>
      <c r="F978" s="16" t="s">
        <v>32</v>
      </c>
      <c r="G978" s="16">
        <v>17</v>
      </c>
      <c r="H978" s="17">
        <v>14000</v>
      </c>
      <c r="I978" s="23">
        <v>0</v>
      </c>
      <c r="J978" s="28">
        <f>Table2[[#This Row],[Quantity]]*Table2[[#This Row],[Unit_Price]]</f>
        <v>238000</v>
      </c>
      <c r="K978" s="31">
        <f t="shared" si="15"/>
        <v>238000</v>
      </c>
      <c r="L978" s="31">
        <f>Table2[[#This Row],[gross sales]]-Table2[[#This Row],[net sale]]</f>
        <v>0</v>
      </c>
      <c r="M978" s="36" t="str">
        <f>TEXT(B978,"mmm")</f>
        <v>Jan</v>
      </c>
    </row>
    <row r="979" spans="1:13">
      <c r="A979" s="19">
        <v>1978</v>
      </c>
      <c r="B979" s="18">
        <v>45825</v>
      </c>
      <c r="C979" s="19" t="s">
        <v>25</v>
      </c>
      <c r="D979" s="19" t="s">
        <v>26</v>
      </c>
      <c r="E979" s="19" t="s">
        <v>14</v>
      </c>
      <c r="F979" s="19" t="s">
        <v>15</v>
      </c>
      <c r="G979" s="19">
        <v>8</v>
      </c>
      <c r="H979" s="20">
        <v>11000</v>
      </c>
      <c r="I979" s="24">
        <v>0.05</v>
      </c>
      <c r="J979" s="28">
        <f>Table2[[#This Row],[Quantity]]*Table2[[#This Row],[Unit_Price]]</f>
        <v>88000</v>
      </c>
      <c r="K979" s="31">
        <f t="shared" si="15"/>
        <v>83600</v>
      </c>
      <c r="L979" s="31">
        <f>Table2[[#This Row],[gross sales]]-Table2[[#This Row],[net sale]]</f>
        <v>4400</v>
      </c>
      <c r="M979" s="37" t="str">
        <f>TEXT(B979,"mmm")</f>
        <v>Jun</v>
      </c>
    </row>
    <row r="980" spans="1:13">
      <c r="A980" s="16">
        <v>1979</v>
      </c>
      <c r="B980" s="15">
        <v>45886</v>
      </c>
      <c r="C980" s="16" t="s">
        <v>35</v>
      </c>
      <c r="D980" s="16" t="s">
        <v>36</v>
      </c>
      <c r="E980" s="16" t="s">
        <v>14</v>
      </c>
      <c r="F980" s="16" t="s">
        <v>12</v>
      </c>
      <c r="G980" s="16">
        <v>20</v>
      </c>
      <c r="H980" s="17">
        <v>3500</v>
      </c>
      <c r="I980" s="23">
        <v>0.12</v>
      </c>
      <c r="J980" s="28">
        <f>Table2[[#This Row],[Quantity]]*Table2[[#This Row],[Unit_Price]]</f>
        <v>70000</v>
      </c>
      <c r="K980" s="31">
        <f t="shared" si="15"/>
        <v>61600</v>
      </c>
      <c r="L980" s="31">
        <f>Table2[[#This Row],[gross sales]]-Table2[[#This Row],[net sale]]</f>
        <v>8400</v>
      </c>
      <c r="M980" s="36" t="str">
        <f>TEXT(B980,"mmm")</f>
        <v>Aug</v>
      </c>
    </row>
    <row r="981" spans="1:13">
      <c r="A981" s="26">
        <v>1980</v>
      </c>
      <c r="B981" s="18">
        <v>45879</v>
      </c>
      <c r="C981" s="19" t="s">
        <v>21</v>
      </c>
      <c r="D981" s="19" t="s">
        <v>10</v>
      </c>
      <c r="E981" s="19" t="s">
        <v>17</v>
      </c>
      <c r="F981" s="19" t="s">
        <v>23</v>
      </c>
      <c r="G981" s="19">
        <v>13</v>
      </c>
      <c r="H981" s="20">
        <v>14000</v>
      </c>
      <c r="I981" s="24">
        <v>0.05</v>
      </c>
      <c r="J981" s="28">
        <f>Table2[[#This Row],[Quantity]]*Table2[[#This Row],[Unit_Price]]</f>
        <v>182000</v>
      </c>
      <c r="K981" s="31">
        <f t="shared" si="15"/>
        <v>172900</v>
      </c>
      <c r="L981" s="31">
        <f>Table2[[#This Row],[gross sales]]-Table2[[#This Row],[net sale]]</f>
        <v>9100</v>
      </c>
      <c r="M981" s="37" t="str">
        <f>TEXT(B981,"mmm")</f>
        <v>Aug</v>
      </c>
    </row>
    <row r="982" spans="1:13">
      <c r="A982" s="16">
        <v>1981</v>
      </c>
      <c r="B982" s="15">
        <v>45700</v>
      </c>
      <c r="C982" s="16" t="s">
        <v>34</v>
      </c>
      <c r="D982" s="16" t="s">
        <v>26</v>
      </c>
      <c r="E982" s="16" t="s">
        <v>14</v>
      </c>
      <c r="F982" s="16" t="s">
        <v>15</v>
      </c>
      <c r="G982" s="16">
        <v>19</v>
      </c>
      <c r="H982" s="17">
        <v>15000</v>
      </c>
      <c r="I982" s="23">
        <v>0.15</v>
      </c>
      <c r="J982" s="28">
        <f>Table2[[#This Row],[Quantity]]*Table2[[#This Row],[Unit_Price]]</f>
        <v>285000</v>
      </c>
      <c r="K982" s="31">
        <f t="shared" si="15"/>
        <v>242250</v>
      </c>
      <c r="L982" s="31">
        <f>Table2[[#This Row],[gross sales]]-Table2[[#This Row],[net sale]]</f>
        <v>42750</v>
      </c>
      <c r="M982" s="36" t="str">
        <f>TEXT(B982,"mmm")</f>
        <v>Feb</v>
      </c>
    </row>
    <row r="983" spans="1:13">
      <c r="A983" s="19">
        <v>1982</v>
      </c>
      <c r="B983" s="18">
        <v>45792</v>
      </c>
      <c r="C983" s="19" t="s">
        <v>9</v>
      </c>
      <c r="D983" s="19" t="s">
        <v>10</v>
      </c>
      <c r="E983" s="19" t="s">
        <v>22</v>
      </c>
      <c r="F983" s="19" t="s">
        <v>32</v>
      </c>
      <c r="G983" s="19">
        <v>13</v>
      </c>
      <c r="H983" s="20">
        <v>18000</v>
      </c>
      <c r="I983" s="24">
        <v>0.12</v>
      </c>
      <c r="J983" s="28">
        <f>Table2[[#This Row],[Quantity]]*Table2[[#This Row],[Unit_Price]]</f>
        <v>234000</v>
      </c>
      <c r="K983" s="31">
        <f t="shared" si="15"/>
        <v>205920</v>
      </c>
      <c r="L983" s="31">
        <f>Table2[[#This Row],[gross sales]]-Table2[[#This Row],[net sale]]</f>
        <v>28080</v>
      </c>
      <c r="M983" s="37" t="str">
        <f>TEXT(B983,"mmm")</f>
        <v>May</v>
      </c>
    </row>
    <row r="984" spans="1:13">
      <c r="A984" s="16">
        <v>1983</v>
      </c>
      <c r="B984" s="15">
        <v>45727</v>
      </c>
      <c r="C984" s="16" t="s">
        <v>34</v>
      </c>
      <c r="D984" s="16" t="s">
        <v>26</v>
      </c>
      <c r="E984" s="16" t="s">
        <v>22</v>
      </c>
      <c r="F984" s="16" t="s">
        <v>15</v>
      </c>
      <c r="G984" s="16">
        <v>18</v>
      </c>
      <c r="H984" s="17">
        <v>15000</v>
      </c>
      <c r="I984" s="23">
        <v>0.05</v>
      </c>
      <c r="J984" s="28">
        <f>Table2[[#This Row],[Quantity]]*Table2[[#This Row],[Unit_Price]]</f>
        <v>270000</v>
      </c>
      <c r="K984" s="31">
        <f t="shared" si="15"/>
        <v>256500</v>
      </c>
      <c r="L984" s="31">
        <f>Table2[[#This Row],[gross sales]]-Table2[[#This Row],[net sale]]</f>
        <v>13500</v>
      </c>
      <c r="M984" s="36" t="str">
        <f>TEXT(B984,"mmm")</f>
        <v>Mar</v>
      </c>
    </row>
    <row r="985" spans="1:13">
      <c r="A985" s="19">
        <v>1984</v>
      </c>
      <c r="B985" s="18">
        <v>45991</v>
      </c>
      <c r="C985" s="19" t="s">
        <v>28</v>
      </c>
      <c r="D985" s="19" t="s">
        <v>26</v>
      </c>
      <c r="E985" s="19" t="s">
        <v>17</v>
      </c>
      <c r="F985" s="19" t="s">
        <v>12</v>
      </c>
      <c r="G985" s="19">
        <v>7</v>
      </c>
      <c r="H985" s="20">
        <v>9000</v>
      </c>
      <c r="I985" s="24">
        <v>0.12</v>
      </c>
      <c r="J985" s="28">
        <f>Table2[[#This Row],[Quantity]]*Table2[[#This Row],[Unit_Price]]</f>
        <v>63000</v>
      </c>
      <c r="K985" s="31">
        <f t="shared" si="15"/>
        <v>55440</v>
      </c>
      <c r="L985" s="31">
        <f>Table2[[#This Row],[gross sales]]-Table2[[#This Row],[net sale]]</f>
        <v>7560</v>
      </c>
      <c r="M985" s="37" t="str">
        <f>TEXT(B985,"mmm")</f>
        <v>Nov</v>
      </c>
    </row>
    <row r="986" spans="1:13">
      <c r="A986" s="16">
        <v>1985</v>
      </c>
      <c r="B986" s="15">
        <v>45694</v>
      </c>
      <c r="C986" s="16" t="s">
        <v>21</v>
      </c>
      <c r="D986" s="16" t="s">
        <v>10</v>
      </c>
      <c r="E986" s="16" t="s">
        <v>14</v>
      </c>
      <c r="F986" s="16" t="s">
        <v>24</v>
      </c>
      <c r="G986" s="16">
        <v>14</v>
      </c>
      <c r="H986" s="17">
        <v>14000</v>
      </c>
      <c r="I986" s="23">
        <v>0.08</v>
      </c>
      <c r="J986" s="28">
        <f>Table2[[#This Row],[Quantity]]*Table2[[#This Row],[Unit_Price]]</f>
        <v>196000</v>
      </c>
      <c r="K986" s="31">
        <f t="shared" si="15"/>
        <v>180320</v>
      </c>
      <c r="L986" s="31">
        <f>Table2[[#This Row],[gross sales]]-Table2[[#This Row],[net sale]]</f>
        <v>15680</v>
      </c>
      <c r="M986" s="36" t="str">
        <f>TEXT(B986,"mmm")</f>
        <v>Feb</v>
      </c>
    </row>
    <row r="987" spans="1:13">
      <c r="A987" s="19">
        <v>1986</v>
      </c>
      <c r="B987" s="18">
        <v>46001</v>
      </c>
      <c r="C987" s="19" t="s">
        <v>31</v>
      </c>
      <c r="D987" s="19" t="s">
        <v>26</v>
      </c>
      <c r="E987" s="19" t="s">
        <v>11</v>
      </c>
      <c r="F987" s="19" t="s">
        <v>12</v>
      </c>
      <c r="G987" s="19">
        <v>14</v>
      </c>
      <c r="H987" s="20">
        <v>8500</v>
      </c>
      <c r="I987" s="24">
        <v>0.08</v>
      </c>
      <c r="J987" s="28">
        <f>Table2[[#This Row],[Quantity]]*Table2[[#This Row],[Unit_Price]]</f>
        <v>119000</v>
      </c>
      <c r="K987" s="31">
        <f t="shared" si="15"/>
        <v>109480</v>
      </c>
      <c r="L987" s="31">
        <f>Table2[[#This Row],[gross sales]]-Table2[[#This Row],[net sale]]</f>
        <v>9520</v>
      </c>
      <c r="M987" s="37" t="str">
        <f>TEXT(B987,"mmm")</f>
        <v>Dec</v>
      </c>
    </row>
    <row r="988" spans="1:13">
      <c r="A988" s="16">
        <v>1987</v>
      </c>
      <c r="B988" s="15">
        <v>45822</v>
      </c>
      <c r="C988" s="16" t="s">
        <v>33</v>
      </c>
      <c r="D988" s="16" t="s">
        <v>10</v>
      </c>
      <c r="E988" s="16" t="s">
        <v>14</v>
      </c>
      <c r="F988" s="16" t="s">
        <v>27</v>
      </c>
      <c r="G988" s="16">
        <v>20</v>
      </c>
      <c r="H988" s="17">
        <v>2500</v>
      </c>
      <c r="I988" s="23">
        <v>0.15</v>
      </c>
      <c r="J988" s="28">
        <f>Table2[[#This Row],[Quantity]]*Table2[[#This Row],[Unit_Price]]</f>
        <v>50000</v>
      </c>
      <c r="K988" s="31">
        <f t="shared" si="15"/>
        <v>42500</v>
      </c>
      <c r="L988" s="31">
        <f>Table2[[#This Row],[gross sales]]-Table2[[#This Row],[net sale]]</f>
        <v>7500</v>
      </c>
      <c r="M988" s="36" t="str">
        <f>TEXT(B988,"mmm")</f>
        <v>Jun</v>
      </c>
    </row>
    <row r="989" spans="1:13">
      <c r="A989" s="19">
        <v>1988</v>
      </c>
      <c r="B989" s="18">
        <v>45744</v>
      </c>
      <c r="C989" s="19" t="s">
        <v>33</v>
      </c>
      <c r="D989" s="19" t="s">
        <v>10</v>
      </c>
      <c r="E989" s="19" t="s">
        <v>17</v>
      </c>
      <c r="F989" s="19" t="s">
        <v>20</v>
      </c>
      <c r="G989" s="19">
        <v>20</v>
      </c>
      <c r="H989" s="20">
        <v>2500</v>
      </c>
      <c r="I989" s="24">
        <v>0.1</v>
      </c>
      <c r="J989" s="28">
        <f>Table2[[#This Row],[Quantity]]*Table2[[#This Row],[Unit_Price]]</f>
        <v>50000</v>
      </c>
      <c r="K989" s="31">
        <f t="shared" si="15"/>
        <v>45000</v>
      </c>
      <c r="L989" s="31">
        <f>Table2[[#This Row],[gross sales]]-Table2[[#This Row],[net sale]]</f>
        <v>5000</v>
      </c>
      <c r="M989" s="37" t="str">
        <f>TEXT(B989,"mmm")</f>
        <v>Mar</v>
      </c>
    </row>
    <row r="990" spans="1:13">
      <c r="A990" s="16">
        <v>1989</v>
      </c>
      <c r="B990" s="15">
        <v>45680</v>
      </c>
      <c r="C990" s="16" t="s">
        <v>37</v>
      </c>
      <c r="D990" s="16" t="s">
        <v>36</v>
      </c>
      <c r="E990" s="16" t="s">
        <v>11</v>
      </c>
      <c r="F990" s="16" t="s">
        <v>32</v>
      </c>
      <c r="G990" s="16">
        <v>8</v>
      </c>
      <c r="H990" s="17">
        <v>1800</v>
      </c>
      <c r="I990" s="23">
        <v>0.05</v>
      </c>
      <c r="J990" s="28">
        <f>Table2[[#This Row],[Quantity]]*Table2[[#This Row],[Unit_Price]]</f>
        <v>14400</v>
      </c>
      <c r="K990" s="31">
        <f t="shared" si="15"/>
        <v>13680</v>
      </c>
      <c r="L990" s="31">
        <f>Table2[[#This Row],[gross sales]]-Table2[[#This Row],[net sale]]</f>
        <v>720</v>
      </c>
      <c r="M990" s="36" t="str">
        <f>TEXT(B990,"mmm")</f>
        <v>Jan</v>
      </c>
    </row>
    <row r="991" spans="1:13">
      <c r="A991" s="19">
        <v>1990</v>
      </c>
      <c r="B991" s="18">
        <v>45701</v>
      </c>
      <c r="C991" s="19" t="s">
        <v>9</v>
      </c>
      <c r="D991" s="19" t="s">
        <v>10</v>
      </c>
      <c r="E991" s="19" t="s">
        <v>17</v>
      </c>
      <c r="F991" s="19" t="s">
        <v>27</v>
      </c>
      <c r="G991" s="19">
        <v>2</v>
      </c>
      <c r="H991" s="20">
        <v>18000</v>
      </c>
      <c r="I991" s="24">
        <v>0.05</v>
      </c>
      <c r="J991" s="28">
        <f>Table2[[#This Row],[Quantity]]*Table2[[#This Row],[Unit_Price]]</f>
        <v>36000</v>
      </c>
      <c r="K991" s="31">
        <f t="shared" si="15"/>
        <v>34200</v>
      </c>
      <c r="L991" s="31">
        <f>Table2[[#This Row],[gross sales]]-Table2[[#This Row],[net sale]]</f>
        <v>1800</v>
      </c>
      <c r="M991" s="37" t="str">
        <f>TEXT(B991,"mmm")</f>
        <v>Feb</v>
      </c>
    </row>
    <row r="992" spans="1:13">
      <c r="A992" s="16">
        <v>1991</v>
      </c>
      <c r="B992" s="15">
        <v>45665</v>
      </c>
      <c r="C992" s="16" t="s">
        <v>33</v>
      </c>
      <c r="D992" s="16" t="s">
        <v>10</v>
      </c>
      <c r="E992" s="16" t="s">
        <v>22</v>
      </c>
      <c r="F992" s="16" t="s">
        <v>20</v>
      </c>
      <c r="G992" s="16">
        <v>4</v>
      </c>
      <c r="H992" s="17">
        <v>2500</v>
      </c>
      <c r="I992" s="23">
        <v>0.08</v>
      </c>
      <c r="J992" s="28">
        <f>Table2[[#This Row],[Quantity]]*Table2[[#This Row],[Unit_Price]]</f>
        <v>10000</v>
      </c>
      <c r="K992" s="31">
        <f t="shared" si="15"/>
        <v>9200</v>
      </c>
      <c r="L992" s="31">
        <f>Table2[[#This Row],[gross sales]]-Table2[[#This Row],[net sale]]</f>
        <v>800</v>
      </c>
      <c r="M992" s="36" t="str">
        <f>TEXT(B992,"mmm")</f>
        <v>Jan</v>
      </c>
    </row>
    <row r="993" spans="1:13">
      <c r="A993" s="19">
        <v>1992</v>
      </c>
      <c r="B993" s="18">
        <v>45669</v>
      </c>
      <c r="C993" s="19" t="s">
        <v>33</v>
      </c>
      <c r="D993" s="19" t="s">
        <v>10</v>
      </c>
      <c r="E993" s="19" t="s">
        <v>17</v>
      </c>
      <c r="F993" s="19" t="s">
        <v>12</v>
      </c>
      <c r="G993" s="19">
        <v>7</v>
      </c>
      <c r="H993" s="20">
        <v>2500</v>
      </c>
      <c r="I993" s="24">
        <v>0.15</v>
      </c>
      <c r="J993" s="28">
        <f>Table2[[#This Row],[Quantity]]*Table2[[#This Row],[Unit_Price]]</f>
        <v>17500</v>
      </c>
      <c r="K993" s="31">
        <f t="shared" si="15"/>
        <v>14875</v>
      </c>
      <c r="L993" s="31">
        <f>Table2[[#This Row],[gross sales]]-Table2[[#This Row],[net sale]]</f>
        <v>2625</v>
      </c>
      <c r="M993" s="37" t="str">
        <f>TEXT(B993,"mmm")</f>
        <v>Jan</v>
      </c>
    </row>
    <row r="994" spans="1:13">
      <c r="A994" s="16">
        <v>1993</v>
      </c>
      <c r="B994" s="15">
        <v>45937</v>
      </c>
      <c r="C994" s="16" t="s">
        <v>25</v>
      </c>
      <c r="D994" s="16" t="s">
        <v>26</v>
      </c>
      <c r="E994" s="16" t="s">
        <v>22</v>
      </c>
      <c r="F994" s="16" t="s">
        <v>32</v>
      </c>
      <c r="G994" s="16">
        <v>9</v>
      </c>
      <c r="H994" s="17">
        <v>11000</v>
      </c>
      <c r="I994" s="23">
        <v>0.12</v>
      </c>
      <c r="J994" s="28">
        <f>Table2[[#This Row],[Quantity]]*Table2[[#This Row],[Unit_Price]]</f>
        <v>99000</v>
      </c>
      <c r="K994" s="31">
        <f t="shared" si="15"/>
        <v>87120</v>
      </c>
      <c r="L994" s="31">
        <f>Table2[[#This Row],[gross sales]]-Table2[[#This Row],[net sale]]</f>
        <v>11880</v>
      </c>
      <c r="M994" s="36" t="str">
        <f>TEXT(B994,"mmm")</f>
        <v>Oct</v>
      </c>
    </row>
    <row r="995" spans="1:13">
      <c r="A995" s="19">
        <v>1994</v>
      </c>
      <c r="B995" s="18">
        <v>46013</v>
      </c>
      <c r="C995" s="19" t="s">
        <v>39</v>
      </c>
      <c r="D995" s="19" t="s">
        <v>30</v>
      </c>
      <c r="E995" s="19" t="s">
        <v>14</v>
      </c>
      <c r="F995" s="19" t="s">
        <v>27</v>
      </c>
      <c r="G995" s="19">
        <v>1</v>
      </c>
      <c r="H995" s="19">
        <v>180</v>
      </c>
      <c r="I995" s="24">
        <v>0.1</v>
      </c>
      <c r="J995" s="28">
        <f>Table2[[#This Row],[Quantity]]*Table2[[#This Row],[Unit_Price]]</f>
        <v>180</v>
      </c>
      <c r="K995" s="31">
        <f t="shared" si="15"/>
        <v>162</v>
      </c>
      <c r="L995" s="31">
        <f>Table2[[#This Row],[gross sales]]-Table2[[#This Row],[net sale]]</f>
        <v>18</v>
      </c>
      <c r="M995" s="37" t="str">
        <f>TEXT(B995,"mmm")</f>
        <v>Dec</v>
      </c>
    </row>
    <row r="996" spans="1:13">
      <c r="A996" s="16">
        <v>1995</v>
      </c>
      <c r="B996" s="15">
        <v>45745</v>
      </c>
      <c r="C996" s="16" t="s">
        <v>16</v>
      </c>
      <c r="D996" s="16" t="s">
        <v>10</v>
      </c>
      <c r="E996" s="16" t="s">
        <v>11</v>
      </c>
      <c r="F996" s="16" t="s">
        <v>18</v>
      </c>
      <c r="G996" s="16">
        <v>10</v>
      </c>
      <c r="H996" s="17">
        <v>55000</v>
      </c>
      <c r="I996" s="23">
        <v>0.05</v>
      </c>
      <c r="J996" s="28">
        <f>Table2[[#This Row],[Quantity]]*Table2[[#This Row],[Unit_Price]]</f>
        <v>550000</v>
      </c>
      <c r="K996" s="31">
        <f t="shared" si="15"/>
        <v>522500</v>
      </c>
      <c r="L996" s="31">
        <f>Table2[[#This Row],[gross sales]]-Table2[[#This Row],[net sale]]</f>
        <v>27500</v>
      </c>
      <c r="M996" s="36" t="str">
        <f>TEXT(B996,"mmm")</f>
        <v>Mar</v>
      </c>
    </row>
    <row r="997" spans="1:13">
      <c r="A997" s="19">
        <v>1996</v>
      </c>
      <c r="B997" s="18">
        <v>45896</v>
      </c>
      <c r="C997" s="19" t="s">
        <v>29</v>
      </c>
      <c r="D997" s="19" t="s">
        <v>30</v>
      </c>
      <c r="E997" s="19" t="s">
        <v>22</v>
      </c>
      <c r="F997" s="19" t="s">
        <v>27</v>
      </c>
      <c r="G997" s="19">
        <v>1</v>
      </c>
      <c r="H997" s="19">
        <v>250</v>
      </c>
      <c r="I997" s="24">
        <v>0</v>
      </c>
      <c r="J997" s="28">
        <f>Table2[[#This Row],[Quantity]]*Table2[[#This Row],[Unit_Price]]</f>
        <v>250</v>
      </c>
      <c r="K997" s="31">
        <f t="shared" si="15"/>
        <v>250</v>
      </c>
      <c r="L997" s="31">
        <f>Table2[[#This Row],[gross sales]]-Table2[[#This Row],[net sale]]</f>
        <v>0</v>
      </c>
      <c r="M997" s="37" t="str">
        <f>TEXT(B997,"mmm")</f>
        <v>Aug</v>
      </c>
    </row>
    <row r="998" spans="1:13">
      <c r="A998" s="16">
        <v>1997</v>
      </c>
      <c r="B998" s="15">
        <v>45997</v>
      </c>
      <c r="C998" s="16" t="s">
        <v>38</v>
      </c>
      <c r="D998" s="16" t="s">
        <v>10</v>
      </c>
      <c r="E998" s="16" t="s">
        <v>14</v>
      </c>
      <c r="F998" s="16" t="s">
        <v>27</v>
      </c>
      <c r="G998" s="16">
        <v>12</v>
      </c>
      <c r="H998" s="17">
        <v>42000</v>
      </c>
      <c r="I998" s="23">
        <v>0</v>
      </c>
      <c r="J998" s="28">
        <f>Table2[[#This Row],[Quantity]]*Table2[[#This Row],[Unit_Price]]</f>
        <v>504000</v>
      </c>
      <c r="K998" s="31">
        <f t="shared" si="15"/>
        <v>504000</v>
      </c>
      <c r="L998" s="31">
        <f>Table2[[#This Row],[gross sales]]-Table2[[#This Row],[net sale]]</f>
        <v>0</v>
      </c>
      <c r="M998" s="36" t="str">
        <f>TEXT(B998,"mmm")</f>
        <v>Dec</v>
      </c>
    </row>
    <row r="999" spans="1:13">
      <c r="A999" s="19">
        <v>1998</v>
      </c>
      <c r="B999" s="18">
        <v>45990</v>
      </c>
      <c r="C999" s="19" t="s">
        <v>31</v>
      </c>
      <c r="D999" s="19" t="s">
        <v>26</v>
      </c>
      <c r="E999" s="19" t="s">
        <v>14</v>
      </c>
      <c r="F999" s="19" t="s">
        <v>23</v>
      </c>
      <c r="G999" s="19">
        <v>8</v>
      </c>
      <c r="H999" s="20">
        <v>8500</v>
      </c>
      <c r="I999" s="24">
        <v>0.1</v>
      </c>
      <c r="J999" s="28">
        <f>Table2[[#This Row],[Quantity]]*Table2[[#This Row],[Unit_Price]]</f>
        <v>68000</v>
      </c>
      <c r="K999" s="31">
        <f t="shared" si="15"/>
        <v>61200</v>
      </c>
      <c r="L999" s="31">
        <f>Table2[[#This Row],[gross sales]]-Table2[[#This Row],[net sale]]</f>
        <v>6800</v>
      </c>
      <c r="M999" s="37" t="str">
        <f>TEXT(B999,"mmm")</f>
        <v>Nov</v>
      </c>
    </row>
    <row r="1000" spans="1:13">
      <c r="A1000" s="16">
        <v>1999</v>
      </c>
      <c r="B1000" s="15">
        <v>45906</v>
      </c>
      <c r="C1000" s="16" t="s">
        <v>38</v>
      </c>
      <c r="D1000" s="16" t="s">
        <v>10</v>
      </c>
      <c r="E1000" s="16" t="s">
        <v>14</v>
      </c>
      <c r="F1000" s="16" t="s">
        <v>32</v>
      </c>
      <c r="G1000" s="16">
        <v>20</v>
      </c>
      <c r="H1000" s="17">
        <v>42000</v>
      </c>
      <c r="I1000" s="23">
        <v>0.12</v>
      </c>
      <c r="J1000" s="28">
        <f>Table2[[#This Row],[Quantity]]*Table2[[#This Row],[Unit_Price]]</f>
        <v>840000</v>
      </c>
      <c r="K1000" s="31">
        <f t="shared" si="15"/>
        <v>739200</v>
      </c>
      <c r="L1000" s="31">
        <f>Table2[[#This Row],[gross sales]]-Table2[[#This Row],[net sale]]</f>
        <v>100800</v>
      </c>
      <c r="M1000" s="36" t="str">
        <f>TEXT(B1000,"mmm")</f>
        <v>Sep</v>
      </c>
    </row>
    <row r="1001" spans="1:13">
      <c r="A1001" s="19">
        <v>2000</v>
      </c>
      <c r="B1001" s="18">
        <v>45759</v>
      </c>
      <c r="C1001" s="19" t="s">
        <v>25</v>
      </c>
      <c r="D1001" s="19" t="s">
        <v>26</v>
      </c>
      <c r="E1001" s="19" t="s">
        <v>14</v>
      </c>
      <c r="F1001" s="19" t="s">
        <v>18</v>
      </c>
      <c r="G1001" s="19">
        <v>15</v>
      </c>
      <c r="H1001" s="20">
        <v>11000</v>
      </c>
      <c r="I1001" s="24">
        <v>0.12</v>
      </c>
      <c r="J1001" s="28">
        <f>Table2[[#This Row],[Quantity]]*Table2[[#This Row],[Unit_Price]]</f>
        <v>165000</v>
      </c>
      <c r="K1001" s="31">
        <f t="shared" si="15"/>
        <v>145200</v>
      </c>
      <c r="L1001" s="31">
        <f>Table2[[#This Row],[gross sales]]-Table2[[#This Row],[net sale]]</f>
        <v>19800</v>
      </c>
      <c r="M1001" s="37" t="str">
        <f>TEXT(B1001,"mmm")</f>
        <v>Apr</v>
      </c>
    </row>
  </sheetData>
  <conditionalFormatting sqref="A1:A1048576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2F32-54A0-45C2-82D7-652D022D3DA3}">
  <dimension ref="B1:R224"/>
  <sheetViews>
    <sheetView tabSelected="1" topLeftCell="A31" workbookViewId="0">
      <selection activeCell="B38" sqref="B38"/>
    </sheetView>
  </sheetViews>
  <sheetFormatPr defaultRowHeight="15"/>
  <cols>
    <col min="2" max="2" width="11.7109375" bestFit="1" customWidth="1"/>
    <col min="3" max="3" width="15" bestFit="1" customWidth="1"/>
    <col min="4" max="4" width="9.85546875" bestFit="1" customWidth="1"/>
    <col min="5" max="5" width="14.5703125" bestFit="1" customWidth="1"/>
    <col min="6" max="6" width="10.42578125" bestFit="1" customWidth="1"/>
    <col min="7" max="7" width="12.85546875" bestFit="1" customWidth="1"/>
    <col min="8" max="8" width="15" bestFit="1" customWidth="1"/>
    <col min="9" max="10" width="9.85546875" bestFit="1" customWidth="1"/>
    <col min="11" max="11" width="7.7109375" bestFit="1" customWidth="1"/>
    <col min="12" max="12" width="10" bestFit="1" customWidth="1"/>
    <col min="13" max="13" width="11.5703125" bestFit="1" customWidth="1"/>
    <col min="14" max="14" width="12.140625" bestFit="1" customWidth="1"/>
    <col min="15" max="15" width="18.5703125" bestFit="1" customWidth="1"/>
    <col min="16" max="16" width="9.85546875" bestFit="1" customWidth="1"/>
    <col min="17" max="17" width="11.85546875" bestFit="1" customWidth="1"/>
    <col min="18" max="18" width="12.5703125" bestFit="1" customWidth="1"/>
  </cols>
  <sheetData>
    <row r="1" spans="2:10">
      <c r="B1" t="s">
        <v>51</v>
      </c>
    </row>
    <row r="2" spans="2:10">
      <c r="B2" t="s">
        <v>52</v>
      </c>
    </row>
    <row r="3" spans="2:10">
      <c r="J3" t="s">
        <v>53</v>
      </c>
    </row>
    <row r="5" spans="2:10">
      <c r="B5" s="33" t="s">
        <v>46</v>
      </c>
      <c r="C5" t="s">
        <v>54</v>
      </c>
    </row>
    <row r="7" spans="2:10">
      <c r="B7" s="33" t="s">
        <v>2</v>
      </c>
      <c r="C7" t="s">
        <v>55</v>
      </c>
      <c r="E7" t="s">
        <v>56</v>
      </c>
    </row>
    <row r="8" spans="2:10">
      <c r="B8" t="s">
        <v>16</v>
      </c>
      <c r="C8" s="34">
        <v>40294200</v>
      </c>
      <c r="E8" t="s">
        <v>57</v>
      </c>
    </row>
    <row r="9" spans="2:10">
      <c r="B9" t="s">
        <v>38</v>
      </c>
      <c r="C9" s="34">
        <v>22840860</v>
      </c>
      <c r="E9" t="s">
        <v>58</v>
      </c>
    </row>
    <row r="10" spans="2:10">
      <c r="B10" t="s">
        <v>9</v>
      </c>
      <c r="C10" s="34">
        <v>13062240</v>
      </c>
      <c r="E10" t="s">
        <v>59</v>
      </c>
    </row>
    <row r="11" spans="2:10">
      <c r="B11" t="s">
        <v>34</v>
      </c>
      <c r="C11" s="34">
        <v>9537150</v>
      </c>
    </row>
    <row r="12" spans="2:10">
      <c r="B12" t="s">
        <v>25</v>
      </c>
      <c r="C12" s="34">
        <v>9394770</v>
      </c>
    </row>
    <row r="13" spans="2:10">
      <c r="B13" t="s">
        <v>21</v>
      </c>
      <c r="C13" s="34">
        <v>9140460</v>
      </c>
    </row>
    <row r="14" spans="2:10">
      <c r="B14" t="s">
        <v>31</v>
      </c>
      <c r="C14" s="34">
        <v>5662020</v>
      </c>
    </row>
    <row r="15" spans="2:10">
      <c r="B15" t="s">
        <v>28</v>
      </c>
      <c r="C15" s="34">
        <v>5248980</v>
      </c>
    </row>
    <row r="16" spans="2:10">
      <c r="B16" t="s">
        <v>35</v>
      </c>
      <c r="C16" s="34">
        <v>2645090</v>
      </c>
    </row>
    <row r="17" spans="2:7">
      <c r="B17" t="s">
        <v>33</v>
      </c>
      <c r="C17" s="34">
        <v>1437550</v>
      </c>
    </row>
    <row r="18" spans="2:7">
      <c r="B18" t="s">
        <v>37</v>
      </c>
      <c r="C18" s="34">
        <v>1237230</v>
      </c>
    </row>
    <row r="19" spans="2:7">
      <c r="B19" t="s">
        <v>13</v>
      </c>
      <c r="C19" s="34">
        <v>717516</v>
      </c>
    </row>
    <row r="20" spans="2:7">
      <c r="B20" t="s">
        <v>19</v>
      </c>
      <c r="C20" s="34">
        <v>495808</v>
      </c>
    </row>
    <row r="21" spans="2:7">
      <c r="B21" t="s">
        <v>29</v>
      </c>
      <c r="C21" s="34">
        <v>181817.5</v>
      </c>
    </row>
    <row r="22" spans="2:7">
      <c r="B22" t="s">
        <v>39</v>
      </c>
      <c r="C22" s="34">
        <v>76053.599999999991</v>
      </c>
    </row>
    <row r="23" spans="2:7">
      <c r="B23" t="s">
        <v>60</v>
      </c>
      <c r="C23" s="34">
        <v>121971745.09999999</v>
      </c>
    </row>
    <row r="25" spans="2:7">
      <c r="B25" t="s">
        <v>61</v>
      </c>
    </row>
    <row r="27" spans="2:7">
      <c r="B27" s="33" t="s">
        <v>3</v>
      </c>
      <c r="C27" t="s">
        <v>55</v>
      </c>
      <c r="F27">
        <v>1</v>
      </c>
      <c r="G27" t="s">
        <v>62</v>
      </c>
    </row>
    <row r="28" spans="2:7">
      <c r="B28" t="s">
        <v>10</v>
      </c>
      <c r="C28" s="34">
        <v>88024634</v>
      </c>
      <c r="F28">
        <v>2</v>
      </c>
      <c r="G28" t="s">
        <v>63</v>
      </c>
    </row>
    <row r="29" spans="2:7">
      <c r="B29" t="s">
        <v>26</v>
      </c>
      <c r="C29" s="34">
        <v>29842920</v>
      </c>
    </row>
    <row r="30" spans="2:7">
      <c r="B30" t="s">
        <v>36</v>
      </c>
      <c r="C30" s="34">
        <v>3846320</v>
      </c>
    </row>
    <row r="31" spans="2:7">
      <c r="B31" t="s">
        <v>30</v>
      </c>
      <c r="C31" s="34">
        <v>257871.1</v>
      </c>
    </row>
    <row r="32" spans="2:7">
      <c r="B32" t="s">
        <v>60</v>
      </c>
      <c r="C32" s="34">
        <v>121971745.09999999</v>
      </c>
    </row>
    <row r="35" spans="2:5">
      <c r="B35" t="s">
        <v>64</v>
      </c>
    </row>
    <row r="37" spans="2:5">
      <c r="B37" s="33" t="s">
        <v>4</v>
      </c>
      <c r="C37" t="s">
        <v>55</v>
      </c>
    </row>
    <row r="38" spans="2:5">
      <c r="B38" t="s">
        <v>17</v>
      </c>
      <c r="C38" s="34">
        <v>35560757.799999997</v>
      </c>
      <c r="E38" t="s">
        <v>65</v>
      </c>
    </row>
    <row r="39" spans="2:5">
      <c r="B39" t="s">
        <v>22</v>
      </c>
      <c r="C39" s="34">
        <v>31444768.200000003</v>
      </c>
      <c r="E39" t="s">
        <v>66</v>
      </c>
    </row>
    <row r="40" spans="2:5">
      <c r="B40" t="s">
        <v>11</v>
      </c>
      <c r="C40" s="34">
        <v>30729391</v>
      </c>
    </row>
    <row r="41" spans="2:5">
      <c r="B41" t="s">
        <v>14</v>
      </c>
      <c r="C41" s="34">
        <v>24225428.099999994</v>
      </c>
    </row>
    <row r="42" spans="2:5">
      <c r="B42" t="s">
        <v>50</v>
      </c>
      <c r="C42" s="34">
        <v>11400</v>
      </c>
    </row>
    <row r="43" spans="2:5">
      <c r="B43" t="s">
        <v>60</v>
      </c>
      <c r="C43" s="34">
        <v>121971745.09999999</v>
      </c>
    </row>
    <row r="47" spans="2:5">
      <c r="B47" t="s">
        <v>67</v>
      </c>
    </row>
    <row r="49" spans="2:5">
      <c r="B49" s="33" t="s">
        <v>5</v>
      </c>
      <c r="C49" t="s">
        <v>55</v>
      </c>
      <c r="E49" t="s">
        <v>68</v>
      </c>
    </row>
    <row r="50" spans="2:5">
      <c r="B50" t="s">
        <v>32</v>
      </c>
      <c r="C50" s="34">
        <v>16284033.4</v>
      </c>
      <c r="E50" t="s">
        <v>66</v>
      </c>
    </row>
    <row r="51" spans="2:5">
      <c r="B51" t="s">
        <v>15</v>
      </c>
      <c r="C51" s="34">
        <v>17637069</v>
      </c>
    </row>
    <row r="52" spans="2:5">
      <c r="B52" t="s">
        <v>12</v>
      </c>
      <c r="C52" s="34">
        <v>12298069.800000001</v>
      </c>
    </row>
    <row r="53" spans="2:5">
      <c r="B53" t="s">
        <v>20</v>
      </c>
      <c r="C53" s="34">
        <v>14949768.9</v>
      </c>
    </row>
    <row r="54" spans="2:5">
      <c r="B54" t="s">
        <v>24</v>
      </c>
      <c r="C54" s="34">
        <v>16309975.1</v>
      </c>
    </row>
    <row r="55" spans="2:5">
      <c r="B55" t="s">
        <v>18</v>
      </c>
      <c r="C55" s="34">
        <v>16689883.6</v>
      </c>
    </row>
    <row r="56" spans="2:5">
      <c r="B56" t="s">
        <v>23</v>
      </c>
      <c r="C56" s="34">
        <v>11538756.199999999</v>
      </c>
    </row>
    <row r="57" spans="2:5">
      <c r="B57" t="s">
        <v>50</v>
      </c>
      <c r="C57" s="34">
        <v>657800</v>
      </c>
    </row>
    <row r="58" spans="2:5">
      <c r="B58" t="s">
        <v>27</v>
      </c>
      <c r="C58" s="34">
        <v>15606389.1</v>
      </c>
    </row>
    <row r="59" spans="2:5">
      <c r="B59" t="s">
        <v>60</v>
      </c>
      <c r="C59" s="34">
        <v>121971745.09999999</v>
      </c>
    </row>
    <row r="62" spans="2:5">
      <c r="B62" t="s">
        <v>69</v>
      </c>
    </row>
    <row r="64" spans="2:5">
      <c r="B64" s="33" t="s">
        <v>48</v>
      </c>
      <c r="C64" t="s">
        <v>55</v>
      </c>
    </row>
    <row r="65" spans="2:5">
      <c r="B65" t="s">
        <v>70</v>
      </c>
      <c r="C65" s="34">
        <v>8029750.4000000004</v>
      </c>
      <c r="E65" t="s">
        <v>71</v>
      </c>
    </row>
    <row r="66" spans="2:5">
      <c r="B66" t="s">
        <v>72</v>
      </c>
      <c r="C66" s="34">
        <v>8829245.5</v>
      </c>
      <c r="E66" t="s">
        <v>73</v>
      </c>
    </row>
    <row r="67" spans="2:5">
      <c r="B67" t="s">
        <v>74</v>
      </c>
      <c r="C67" s="34">
        <v>12495779.699999999</v>
      </c>
    </row>
    <row r="68" spans="2:5">
      <c r="B68" t="s">
        <v>75</v>
      </c>
      <c r="C68" s="34">
        <v>10499679.5</v>
      </c>
    </row>
    <row r="69" spans="2:5">
      <c r="B69" t="s">
        <v>76</v>
      </c>
      <c r="C69" s="34">
        <v>7159989.5</v>
      </c>
    </row>
    <row r="70" spans="2:5">
      <c r="B70" t="s">
        <v>77</v>
      </c>
      <c r="C70" s="34">
        <v>7935640.0999999996</v>
      </c>
    </row>
    <row r="71" spans="2:5">
      <c r="B71" t="s">
        <v>78</v>
      </c>
      <c r="C71" s="34">
        <v>12044775.5</v>
      </c>
    </row>
    <row r="72" spans="2:5">
      <c r="B72" t="s">
        <v>79</v>
      </c>
      <c r="C72" s="34">
        <v>12128867.799999999</v>
      </c>
    </row>
    <row r="73" spans="2:5">
      <c r="B73" t="s">
        <v>80</v>
      </c>
      <c r="C73" s="34">
        <v>9396245.3999999985</v>
      </c>
    </row>
    <row r="74" spans="2:5">
      <c r="B74" t="s">
        <v>81</v>
      </c>
      <c r="C74" s="34">
        <v>9430484.6999999993</v>
      </c>
    </row>
    <row r="75" spans="2:5">
      <c r="B75" t="s">
        <v>82</v>
      </c>
      <c r="C75" s="34">
        <v>7921911.7999999998</v>
      </c>
    </row>
    <row r="76" spans="2:5">
      <c r="B76" t="s">
        <v>83</v>
      </c>
      <c r="C76" s="34">
        <v>16099375.199999999</v>
      </c>
    </row>
    <row r="77" spans="2:5">
      <c r="B77" t="s">
        <v>60</v>
      </c>
      <c r="C77" s="34">
        <v>121971745.10000001</v>
      </c>
    </row>
    <row r="80" spans="2:5">
      <c r="B80" t="s">
        <v>84</v>
      </c>
    </row>
    <row r="82" spans="2:6">
      <c r="B82" s="33" t="s">
        <v>6</v>
      </c>
      <c r="C82" t="s">
        <v>55</v>
      </c>
    </row>
    <row r="83" spans="2:6">
      <c r="B83">
        <v>1</v>
      </c>
      <c r="C83" s="34">
        <v>283328.40000000002</v>
      </c>
      <c r="F83" t="s">
        <v>85</v>
      </c>
    </row>
    <row r="84" spans="2:6">
      <c r="B84">
        <v>2</v>
      </c>
      <c r="C84" s="34">
        <v>1331253.8</v>
      </c>
    </row>
    <row r="85" spans="2:6">
      <c r="B85">
        <v>3</v>
      </c>
      <c r="C85" s="34">
        <v>1215356.3999999999</v>
      </c>
    </row>
    <row r="86" spans="2:6">
      <c r="B86">
        <v>4</v>
      </c>
      <c r="C86" s="34">
        <v>1838835.6</v>
      </c>
    </row>
    <row r="87" spans="2:6">
      <c r="B87">
        <v>5</v>
      </c>
      <c r="C87" s="34">
        <v>3509807.5</v>
      </c>
    </row>
    <row r="88" spans="2:6">
      <c r="B88">
        <v>6</v>
      </c>
      <c r="C88" s="34">
        <v>3625047.6</v>
      </c>
    </row>
    <row r="89" spans="2:6">
      <c r="B89">
        <v>7</v>
      </c>
      <c r="C89" s="34">
        <v>2037357.7</v>
      </c>
    </row>
    <row r="90" spans="2:6">
      <c r="B90">
        <v>8</v>
      </c>
      <c r="C90" s="34">
        <v>5795904.7999999998</v>
      </c>
    </row>
    <row r="91" spans="2:6">
      <c r="B91">
        <v>9</v>
      </c>
      <c r="C91" s="34">
        <v>4872361.5</v>
      </c>
    </row>
    <row r="92" spans="2:6">
      <c r="B92">
        <v>10</v>
      </c>
      <c r="C92" s="34">
        <v>5065673</v>
      </c>
    </row>
    <row r="93" spans="2:6">
      <c r="B93">
        <v>11</v>
      </c>
      <c r="C93" s="34">
        <v>6030278.0999999996</v>
      </c>
    </row>
    <row r="94" spans="2:6">
      <c r="B94">
        <v>12</v>
      </c>
      <c r="C94" s="34">
        <v>11247126</v>
      </c>
    </row>
    <row r="95" spans="2:6">
      <c r="B95">
        <v>13</v>
      </c>
      <c r="C95" s="34">
        <v>8718455.1999999993</v>
      </c>
    </row>
    <row r="96" spans="2:6">
      <c r="B96">
        <v>14</v>
      </c>
      <c r="C96" s="34">
        <v>7773591</v>
      </c>
    </row>
    <row r="97" spans="2:6">
      <c r="B97">
        <v>15</v>
      </c>
      <c r="C97" s="34">
        <v>6291112.5</v>
      </c>
    </row>
    <row r="98" spans="2:6">
      <c r="B98">
        <v>16</v>
      </c>
      <c r="C98" s="34">
        <v>10718072</v>
      </c>
    </row>
    <row r="99" spans="2:6">
      <c r="B99">
        <v>17</v>
      </c>
      <c r="C99" s="34">
        <v>9345155</v>
      </c>
    </row>
    <row r="100" spans="2:6">
      <c r="B100">
        <v>18</v>
      </c>
      <c r="C100" s="34">
        <v>10443006</v>
      </c>
    </row>
    <row r="101" spans="2:6">
      <c r="B101">
        <v>19</v>
      </c>
      <c r="C101" s="34">
        <v>9051543</v>
      </c>
    </row>
    <row r="102" spans="2:6">
      <c r="B102">
        <v>20</v>
      </c>
      <c r="C102" s="34">
        <v>12778480</v>
      </c>
    </row>
    <row r="103" spans="2:6">
      <c r="B103" t="s">
        <v>60</v>
      </c>
      <c r="C103" s="34">
        <v>121971745.09999999</v>
      </c>
    </row>
    <row r="106" spans="2:6">
      <c r="B106" t="s">
        <v>86</v>
      </c>
    </row>
    <row r="108" spans="2:6">
      <c r="B108" s="33" t="s">
        <v>8</v>
      </c>
      <c r="C108" t="s">
        <v>55</v>
      </c>
      <c r="F108" t="s">
        <v>87</v>
      </c>
    </row>
    <row r="109" spans="2:6">
      <c r="B109" s="39">
        <v>0</v>
      </c>
      <c r="C109" s="34">
        <v>18931240</v>
      </c>
      <c r="F109" t="s">
        <v>88</v>
      </c>
    </row>
    <row r="110" spans="2:6">
      <c r="B110" s="39">
        <v>0.05</v>
      </c>
      <c r="C110" s="34">
        <v>22664245</v>
      </c>
    </row>
    <row r="111" spans="2:6">
      <c r="B111" s="39">
        <v>0.08</v>
      </c>
      <c r="C111" s="34">
        <v>20092965.599999998</v>
      </c>
    </row>
    <row r="112" spans="2:6">
      <c r="B112" s="39">
        <v>0.1</v>
      </c>
      <c r="C112" s="34">
        <v>19479609</v>
      </c>
    </row>
    <row r="113" spans="2:15">
      <c r="B113" s="39">
        <v>0.12</v>
      </c>
      <c r="C113" s="34">
        <v>24441780</v>
      </c>
    </row>
    <row r="114" spans="2:15">
      <c r="B114" s="39">
        <v>0.15</v>
      </c>
      <c r="C114" s="34">
        <v>16339405.5</v>
      </c>
    </row>
    <row r="115" spans="2:15">
      <c r="B115" s="39">
        <v>0.5</v>
      </c>
      <c r="C115" s="34">
        <v>22500</v>
      </c>
    </row>
    <row r="116" spans="2:15">
      <c r="B116" s="39" t="s">
        <v>60</v>
      </c>
      <c r="C116" s="34">
        <v>121971745.09999999</v>
      </c>
    </row>
    <row r="119" spans="2:15">
      <c r="B119" t="s">
        <v>89</v>
      </c>
    </row>
    <row r="121" spans="2:15">
      <c r="B121" s="33" t="s">
        <v>2</v>
      </c>
      <c r="C121" t="s">
        <v>90</v>
      </c>
    </row>
    <row r="122" spans="2:15">
      <c r="B122" t="s">
        <v>25</v>
      </c>
      <c r="C122" s="34">
        <v>930</v>
      </c>
    </row>
    <row r="123" spans="2:15">
      <c r="B123" t="s">
        <v>34</v>
      </c>
      <c r="C123" s="34">
        <v>691</v>
      </c>
      <c r="E123" t="s">
        <v>91</v>
      </c>
    </row>
    <row r="124" spans="2:15">
      <c r="B124" t="s">
        <v>37</v>
      </c>
      <c r="C124" s="34">
        <v>735</v>
      </c>
      <c r="E124" t="s">
        <v>92</v>
      </c>
    </row>
    <row r="125" spans="2:15">
      <c r="B125" t="s">
        <v>28</v>
      </c>
      <c r="C125" s="34">
        <v>637</v>
      </c>
      <c r="E125" s="40" t="s">
        <v>93</v>
      </c>
      <c r="F125" s="40"/>
      <c r="G125" s="40"/>
      <c r="H125" s="40"/>
      <c r="I125" s="40"/>
      <c r="J125" s="40"/>
      <c r="K125" s="40"/>
      <c r="L125" s="40"/>
      <c r="M125" s="40"/>
      <c r="N125" s="40"/>
      <c r="O125" s="40"/>
    </row>
    <row r="126" spans="2:15">
      <c r="B126" t="s">
        <v>33</v>
      </c>
      <c r="C126" s="34">
        <v>641</v>
      </c>
    </row>
    <row r="127" spans="2:15">
      <c r="B127" t="s">
        <v>13</v>
      </c>
      <c r="C127" s="34">
        <v>651</v>
      </c>
    </row>
    <row r="128" spans="2:15">
      <c r="B128" t="s">
        <v>16</v>
      </c>
      <c r="C128" s="34">
        <v>802</v>
      </c>
    </row>
    <row r="129" spans="2:5">
      <c r="B129" t="s">
        <v>9</v>
      </c>
      <c r="C129" s="34">
        <v>802</v>
      </c>
    </row>
    <row r="130" spans="2:5">
      <c r="B130" t="s">
        <v>19</v>
      </c>
      <c r="C130" s="34">
        <v>676</v>
      </c>
    </row>
    <row r="131" spans="2:5">
      <c r="B131" t="s">
        <v>29</v>
      </c>
      <c r="C131" s="34">
        <v>791</v>
      </c>
    </row>
    <row r="132" spans="2:5">
      <c r="B132" t="s">
        <v>31</v>
      </c>
      <c r="C132" s="34">
        <v>726</v>
      </c>
    </row>
    <row r="133" spans="2:5">
      <c r="B133" t="s">
        <v>39</v>
      </c>
      <c r="C133" s="34">
        <v>452</v>
      </c>
    </row>
    <row r="134" spans="2:5">
      <c r="B134" t="s">
        <v>21</v>
      </c>
      <c r="C134" s="34">
        <v>708</v>
      </c>
    </row>
    <row r="135" spans="2:5">
      <c r="B135" t="s">
        <v>38</v>
      </c>
      <c r="C135" s="34">
        <v>596</v>
      </c>
    </row>
    <row r="136" spans="2:5">
      <c r="B136" t="s">
        <v>35</v>
      </c>
      <c r="C136" s="34">
        <v>821</v>
      </c>
    </row>
    <row r="137" spans="2:5">
      <c r="B137" t="s">
        <v>60</v>
      </c>
      <c r="C137" s="34">
        <v>10659</v>
      </c>
    </row>
    <row r="140" spans="2:5">
      <c r="B140" t="s">
        <v>94</v>
      </c>
    </row>
    <row r="141" spans="2:5">
      <c r="B141" s="33" t="s">
        <v>6</v>
      </c>
      <c r="C141" t="s">
        <v>54</v>
      </c>
    </row>
    <row r="143" spans="2:5">
      <c r="B143" s="33" t="s">
        <v>3</v>
      </c>
      <c r="C143" t="s">
        <v>90</v>
      </c>
      <c r="E143" t="s">
        <v>95</v>
      </c>
    </row>
    <row r="144" spans="2:5">
      <c r="B144" t="s">
        <v>10</v>
      </c>
      <c r="C144" s="34">
        <v>4896</v>
      </c>
      <c r="E144" t="s">
        <v>96</v>
      </c>
    </row>
    <row r="145" spans="2:18">
      <c r="B145" t="s">
        <v>26</v>
      </c>
      <c r="C145" s="34">
        <v>2984</v>
      </c>
    </row>
    <row r="146" spans="2:18">
      <c r="B146" t="s">
        <v>36</v>
      </c>
      <c r="C146" s="34">
        <v>1536</v>
      </c>
    </row>
    <row r="147" spans="2:18">
      <c r="B147" t="s">
        <v>30</v>
      </c>
      <c r="C147" s="34">
        <v>1243</v>
      </c>
    </row>
    <row r="148" spans="2:18">
      <c r="B148" t="s">
        <v>60</v>
      </c>
      <c r="C148" s="34">
        <v>10659</v>
      </c>
    </row>
    <row r="151" spans="2:18">
      <c r="B151" t="s">
        <v>97</v>
      </c>
    </row>
    <row r="152" spans="2:18">
      <c r="E152" t="s">
        <v>98</v>
      </c>
    </row>
    <row r="154" spans="2:18">
      <c r="B154" s="33" t="s">
        <v>55</v>
      </c>
      <c r="C154" s="33" t="s">
        <v>2</v>
      </c>
    </row>
    <row r="155" spans="2:18">
      <c r="B155" s="33" t="s">
        <v>4</v>
      </c>
      <c r="C155" t="s">
        <v>25</v>
      </c>
      <c r="D155" t="s">
        <v>34</v>
      </c>
      <c r="E155" t="s">
        <v>37</v>
      </c>
      <c r="F155" t="s">
        <v>28</v>
      </c>
      <c r="G155" t="s">
        <v>33</v>
      </c>
      <c r="H155" t="s">
        <v>13</v>
      </c>
      <c r="I155" t="s">
        <v>16</v>
      </c>
      <c r="J155" t="s">
        <v>9</v>
      </c>
      <c r="K155" t="s">
        <v>19</v>
      </c>
      <c r="L155" t="s">
        <v>29</v>
      </c>
      <c r="M155" t="s">
        <v>31</v>
      </c>
      <c r="N155" t="s">
        <v>39</v>
      </c>
      <c r="O155" t="s">
        <v>21</v>
      </c>
      <c r="P155" t="s">
        <v>38</v>
      </c>
      <c r="Q155" t="s">
        <v>35</v>
      </c>
      <c r="R155" t="s">
        <v>60</v>
      </c>
    </row>
    <row r="156" spans="2:18">
      <c r="B156" t="s">
        <v>11</v>
      </c>
      <c r="C156" s="34">
        <v>3036110</v>
      </c>
      <c r="D156" s="34">
        <v>1969350</v>
      </c>
      <c r="E156" s="34">
        <v>257382</v>
      </c>
      <c r="F156" s="34">
        <v>914850</v>
      </c>
      <c r="G156" s="34">
        <v>334775</v>
      </c>
      <c r="H156" s="34">
        <v>275748</v>
      </c>
      <c r="I156" s="34">
        <v>8439850</v>
      </c>
      <c r="J156" s="34">
        <v>3486420</v>
      </c>
      <c r="K156" s="34">
        <v>115224</v>
      </c>
      <c r="L156" s="34">
        <v>20570</v>
      </c>
      <c r="M156" s="34">
        <v>1652400</v>
      </c>
      <c r="N156" s="34">
        <v>27747.000000000004</v>
      </c>
      <c r="O156" s="34">
        <v>2078860</v>
      </c>
      <c r="P156" s="34">
        <v>7397880</v>
      </c>
      <c r="Q156" s="34">
        <v>722225</v>
      </c>
      <c r="R156" s="34">
        <v>30729391</v>
      </c>
    </row>
    <row r="157" spans="2:18">
      <c r="B157" t="s">
        <v>14</v>
      </c>
      <c r="C157" s="34">
        <v>1451010</v>
      </c>
      <c r="D157" s="34">
        <v>2509500</v>
      </c>
      <c r="E157" s="34">
        <v>248130</v>
      </c>
      <c r="F157" s="34">
        <v>1877760</v>
      </c>
      <c r="G157" s="34">
        <v>429675</v>
      </c>
      <c r="H157" s="34">
        <v>129216</v>
      </c>
      <c r="I157" s="34">
        <v>5332800</v>
      </c>
      <c r="J157" s="34">
        <v>2485080</v>
      </c>
      <c r="K157" s="34">
        <v>130896</v>
      </c>
      <c r="L157" s="34">
        <v>55197.5</v>
      </c>
      <c r="M157" s="34">
        <v>1513340</v>
      </c>
      <c r="N157" s="34">
        <v>14223.6</v>
      </c>
      <c r="O157" s="34">
        <v>2037420</v>
      </c>
      <c r="P157" s="34">
        <v>5219340</v>
      </c>
      <c r="Q157" s="34">
        <v>791840</v>
      </c>
      <c r="R157" s="34">
        <v>24225428.100000001</v>
      </c>
    </row>
    <row r="158" spans="2:18">
      <c r="B158" t="s">
        <v>17</v>
      </c>
      <c r="C158" s="34">
        <v>2055900</v>
      </c>
      <c r="D158" s="34">
        <v>2161050</v>
      </c>
      <c r="E158" s="34">
        <v>464850</v>
      </c>
      <c r="F158" s="34">
        <v>1403640</v>
      </c>
      <c r="G158" s="34">
        <v>371150</v>
      </c>
      <c r="H158" s="34">
        <v>163104</v>
      </c>
      <c r="I158" s="34">
        <v>17772150</v>
      </c>
      <c r="J158" s="34">
        <v>3477960</v>
      </c>
      <c r="K158" s="34">
        <v>162464</v>
      </c>
      <c r="L158" s="34">
        <v>49065</v>
      </c>
      <c r="M158" s="34">
        <v>752930</v>
      </c>
      <c r="N158" s="34">
        <v>23644.799999999999</v>
      </c>
      <c r="O158" s="34">
        <v>2681840</v>
      </c>
      <c r="P158" s="34">
        <v>3452820</v>
      </c>
      <c r="Q158" s="34">
        <v>568190</v>
      </c>
      <c r="R158" s="34">
        <v>35560757.799999997</v>
      </c>
    </row>
    <row r="159" spans="2:18">
      <c r="B159" t="s">
        <v>22</v>
      </c>
      <c r="C159" s="34">
        <v>2851750</v>
      </c>
      <c r="D159" s="34">
        <v>2897250</v>
      </c>
      <c r="E159" s="34">
        <v>266868</v>
      </c>
      <c r="F159" s="34">
        <v>1052730</v>
      </c>
      <c r="G159" s="34">
        <v>301950</v>
      </c>
      <c r="H159" s="34">
        <v>149448</v>
      </c>
      <c r="I159" s="34">
        <v>8749400</v>
      </c>
      <c r="J159" s="34">
        <v>3612780</v>
      </c>
      <c r="K159" s="34">
        <v>75824</v>
      </c>
      <c r="L159" s="34">
        <v>56985</v>
      </c>
      <c r="M159" s="34">
        <v>1743350</v>
      </c>
      <c r="N159" s="34">
        <v>10438.200000000001</v>
      </c>
      <c r="O159" s="34">
        <v>2342340</v>
      </c>
      <c r="P159" s="34">
        <v>6770820</v>
      </c>
      <c r="Q159" s="34">
        <v>562835</v>
      </c>
      <c r="R159" s="34">
        <v>31444768.199999999</v>
      </c>
    </row>
    <row r="160" spans="2:18">
      <c r="B160" t="s">
        <v>60</v>
      </c>
      <c r="C160" s="34">
        <v>9394770</v>
      </c>
      <c r="D160" s="34">
        <v>9537150</v>
      </c>
      <c r="E160" s="34">
        <v>1237230</v>
      </c>
      <c r="F160" s="34">
        <v>5248980</v>
      </c>
      <c r="G160" s="34">
        <v>1437550</v>
      </c>
      <c r="H160" s="34">
        <v>717516</v>
      </c>
      <c r="I160" s="34">
        <v>40294200</v>
      </c>
      <c r="J160" s="34">
        <v>13062240</v>
      </c>
      <c r="K160" s="34">
        <v>484408</v>
      </c>
      <c r="L160" s="34">
        <v>181817.5</v>
      </c>
      <c r="M160" s="34">
        <v>5662020</v>
      </c>
      <c r="N160" s="34">
        <v>76053.600000000006</v>
      </c>
      <c r="O160" s="34">
        <v>9140460</v>
      </c>
      <c r="P160" s="34">
        <v>22840860</v>
      </c>
      <c r="Q160" s="34">
        <v>2645090</v>
      </c>
      <c r="R160" s="34">
        <v>121960345.10000001</v>
      </c>
    </row>
    <row r="163" spans="2:7">
      <c r="B163" t="s">
        <v>99</v>
      </c>
      <c r="D163" t="s">
        <v>100</v>
      </c>
    </row>
    <row r="165" spans="2:7">
      <c r="B165" s="33" t="s">
        <v>55</v>
      </c>
      <c r="C165" s="33" t="s">
        <v>3</v>
      </c>
    </row>
    <row r="166" spans="2:7">
      <c r="B166" s="33" t="s">
        <v>4</v>
      </c>
      <c r="C166" t="s">
        <v>10</v>
      </c>
      <c r="D166" t="s">
        <v>26</v>
      </c>
      <c r="E166" t="s">
        <v>36</v>
      </c>
      <c r="F166" t="s">
        <v>30</v>
      </c>
      <c r="G166" t="s">
        <v>60</v>
      </c>
    </row>
    <row r="167" spans="2:7">
      <c r="B167" t="s">
        <v>11</v>
      </c>
      <c r="C167" s="34">
        <v>22128757</v>
      </c>
      <c r="D167" s="34">
        <v>7572710</v>
      </c>
      <c r="E167" s="34">
        <v>979607</v>
      </c>
      <c r="F167" s="34">
        <v>48317</v>
      </c>
      <c r="G167" s="34">
        <v>30729391</v>
      </c>
    </row>
    <row r="168" spans="2:7">
      <c r="B168" t="s">
        <v>14</v>
      </c>
      <c r="C168" s="34">
        <v>15764427</v>
      </c>
      <c r="D168" s="34">
        <v>7351610</v>
      </c>
      <c r="E168" s="34">
        <v>1039970</v>
      </c>
      <c r="F168" s="34">
        <v>69421.099999999991</v>
      </c>
      <c r="G168" s="34">
        <v>24225428.100000001</v>
      </c>
    </row>
    <row r="169" spans="2:7">
      <c r="B169" t="s">
        <v>17</v>
      </c>
      <c r="C169" s="34">
        <v>28117488</v>
      </c>
      <c r="D169" s="34">
        <v>6373520</v>
      </c>
      <c r="E169" s="34">
        <v>997040</v>
      </c>
      <c r="F169" s="34">
        <v>72709.8</v>
      </c>
      <c r="G169" s="34">
        <v>35560757.799999997</v>
      </c>
    </row>
    <row r="170" spans="2:7">
      <c r="B170" t="s">
        <v>22</v>
      </c>
      <c r="C170" s="34">
        <v>22002562</v>
      </c>
      <c r="D170" s="34">
        <v>8545080</v>
      </c>
      <c r="E170" s="34">
        <v>829703</v>
      </c>
      <c r="F170" s="34">
        <v>67423.200000000012</v>
      </c>
      <c r="G170" s="34">
        <v>31444768.199999999</v>
      </c>
    </row>
    <row r="171" spans="2:7">
      <c r="B171" t="s">
        <v>60</v>
      </c>
      <c r="C171" s="34">
        <v>88013234</v>
      </c>
      <c r="D171" s="34">
        <v>29842920</v>
      </c>
      <c r="E171" s="34">
        <v>3846320</v>
      </c>
      <c r="F171" s="34">
        <v>257871.1</v>
      </c>
      <c r="G171" s="34">
        <v>121960345.10000001</v>
      </c>
    </row>
    <row r="174" spans="2:7">
      <c r="B174" t="s">
        <v>101</v>
      </c>
    </row>
    <row r="176" spans="2:7">
      <c r="B176" s="33" t="s">
        <v>55</v>
      </c>
      <c r="C176" s="33" t="s">
        <v>2</v>
      </c>
    </row>
    <row r="177" spans="2:18">
      <c r="B177" s="33" t="s">
        <v>5</v>
      </c>
      <c r="C177" t="s">
        <v>25</v>
      </c>
      <c r="D177" t="s">
        <v>34</v>
      </c>
      <c r="E177" t="s">
        <v>37</v>
      </c>
      <c r="F177" t="s">
        <v>28</v>
      </c>
      <c r="G177" t="s">
        <v>33</v>
      </c>
      <c r="H177" t="s">
        <v>13</v>
      </c>
      <c r="I177" t="s">
        <v>16</v>
      </c>
      <c r="J177" t="s">
        <v>9</v>
      </c>
      <c r="K177" t="s">
        <v>19</v>
      </c>
      <c r="L177" t="s">
        <v>29</v>
      </c>
      <c r="M177" t="s">
        <v>31</v>
      </c>
      <c r="N177" t="s">
        <v>39</v>
      </c>
      <c r="O177" t="s">
        <v>21</v>
      </c>
      <c r="P177" t="s">
        <v>38</v>
      </c>
      <c r="Q177" t="s">
        <v>35</v>
      </c>
      <c r="R177" t="s">
        <v>60</v>
      </c>
    </row>
    <row r="178" spans="2:18">
      <c r="B178" t="s">
        <v>32</v>
      </c>
      <c r="C178" s="34">
        <v>819610</v>
      </c>
      <c r="D178" s="34">
        <v>1453800</v>
      </c>
      <c r="E178" s="34">
        <v>130248</v>
      </c>
      <c r="F178" s="34">
        <v>723060</v>
      </c>
      <c r="G178" s="34">
        <v>144875</v>
      </c>
      <c r="H178" s="34">
        <v>80412</v>
      </c>
      <c r="I178" s="34">
        <v>5310800</v>
      </c>
      <c r="J178" s="34">
        <v>1337580</v>
      </c>
      <c r="K178" s="34">
        <v>50880</v>
      </c>
      <c r="L178" s="34">
        <v>25765</v>
      </c>
      <c r="M178" s="34">
        <v>682210</v>
      </c>
      <c r="N178" s="34">
        <v>6728.4</v>
      </c>
      <c r="O178" s="34">
        <v>1658720</v>
      </c>
      <c r="P178" s="34">
        <v>3463740</v>
      </c>
      <c r="Q178" s="34">
        <v>395605</v>
      </c>
      <c r="R178" s="34">
        <v>16284033.4</v>
      </c>
    </row>
    <row r="179" spans="2:18">
      <c r="B179" t="s">
        <v>15</v>
      </c>
      <c r="C179" s="34">
        <v>1307350</v>
      </c>
      <c r="D179" s="34">
        <v>2011650</v>
      </c>
      <c r="E179" s="34">
        <v>151056</v>
      </c>
      <c r="F179" s="34">
        <v>484920</v>
      </c>
      <c r="G179" s="34">
        <v>87325</v>
      </c>
      <c r="H179" s="34">
        <v>144060</v>
      </c>
      <c r="I179" s="34">
        <v>4049650</v>
      </c>
      <c r="J179" s="34">
        <v>2071080</v>
      </c>
      <c r="K179" s="34">
        <v>70480</v>
      </c>
      <c r="L179" s="34">
        <v>23840</v>
      </c>
      <c r="M179" s="34">
        <v>1331440</v>
      </c>
      <c r="N179" s="34">
        <v>873</v>
      </c>
      <c r="O179" s="34">
        <v>1749860</v>
      </c>
      <c r="P179" s="34">
        <v>3866940</v>
      </c>
      <c r="Q179" s="34">
        <v>286545</v>
      </c>
      <c r="R179" s="34">
        <v>17637069</v>
      </c>
    </row>
    <row r="180" spans="2:18">
      <c r="B180" t="s">
        <v>12</v>
      </c>
      <c r="C180" s="34">
        <v>1490610</v>
      </c>
      <c r="D180" s="34">
        <v>861900</v>
      </c>
      <c r="E180" s="34">
        <v>161496</v>
      </c>
      <c r="F180" s="34">
        <v>551430</v>
      </c>
      <c r="G180" s="34">
        <v>105725</v>
      </c>
      <c r="H180" s="34">
        <v>47340</v>
      </c>
      <c r="I180" s="34">
        <v>4562250</v>
      </c>
      <c r="J180" s="34">
        <v>627480</v>
      </c>
      <c r="K180" s="34">
        <v>72008</v>
      </c>
      <c r="L180" s="34">
        <v>26615</v>
      </c>
      <c r="M180" s="34">
        <v>781065</v>
      </c>
      <c r="N180" s="34">
        <v>10405.799999999999</v>
      </c>
      <c r="O180" s="34">
        <v>820400</v>
      </c>
      <c r="P180" s="34">
        <v>1927800</v>
      </c>
      <c r="Q180" s="34">
        <v>251545</v>
      </c>
      <c r="R180" s="34">
        <v>12298069.800000001</v>
      </c>
    </row>
    <row r="181" spans="2:18">
      <c r="B181" t="s">
        <v>20</v>
      </c>
      <c r="C181" s="34">
        <v>1664960</v>
      </c>
      <c r="D181" s="34">
        <v>1782900</v>
      </c>
      <c r="E181" s="34">
        <v>253296</v>
      </c>
      <c r="F181" s="34">
        <v>663660</v>
      </c>
      <c r="G181" s="34">
        <v>259050</v>
      </c>
      <c r="H181" s="34">
        <v>94992</v>
      </c>
      <c r="I181" s="34">
        <v>5588000</v>
      </c>
      <c r="J181" s="34">
        <v>723600</v>
      </c>
      <c r="K181" s="34">
        <v>59600</v>
      </c>
      <c r="L181" s="34">
        <v>20512.5</v>
      </c>
      <c r="M181" s="34">
        <v>312375</v>
      </c>
      <c r="N181" s="34">
        <v>9743.4</v>
      </c>
      <c r="O181" s="34">
        <v>548800</v>
      </c>
      <c r="P181" s="34">
        <v>2650200</v>
      </c>
      <c r="Q181" s="34">
        <v>318080</v>
      </c>
      <c r="R181" s="34">
        <v>14949768.9</v>
      </c>
    </row>
    <row r="182" spans="2:18">
      <c r="B182" t="s">
        <v>24</v>
      </c>
      <c r="C182" s="34">
        <v>1022670</v>
      </c>
      <c r="D182" s="34">
        <v>1123800</v>
      </c>
      <c r="E182" s="34">
        <v>124164</v>
      </c>
      <c r="F182" s="34">
        <v>752760</v>
      </c>
      <c r="G182" s="34">
        <v>230700</v>
      </c>
      <c r="H182" s="34">
        <v>99660</v>
      </c>
      <c r="I182" s="34">
        <v>4972550</v>
      </c>
      <c r="J182" s="34">
        <v>2454840</v>
      </c>
      <c r="K182" s="34">
        <v>78848</v>
      </c>
      <c r="L182" s="34">
        <v>39032.5</v>
      </c>
      <c r="M182" s="34">
        <v>994925</v>
      </c>
      <c r="N182" s="34">
        <v>11415.6</v>
      </c>
      <c r="O182" s="34">
        <v>1580740</v>
      </c>
      <c r="P182" s="34">
        <v>2438940</v>
      </c>
      <c r="Q182" s="34">
        <v>384930</v>
      </c>
      <c r="R182" s="34">
        <v>16309975.1</v>
      </c>
    </row>
    <row r="183" spans="2:18">
      <c r="B183" t="s">
        <v>18</v>
      </c>
      <c r="C183" s="34">
        <v>773630</v>
      </c>
      <c r="D183" s="34">
        <v>521250</v>
      </c>
      <c r="E183" s="34">
        <v>124488</v>
      </c>
      <c r="F183" s="34">
        <v>848250</v>
      </c>
      <c r="G183" s="34">
        <v>133625</v>
      </c>
      <c r="H183" s="34">
        <v>40944</v>
      </c>
      <c r="I183" s="34">
        <v>7533350</v>
      </c>
      <c r="J183" s="34">
        <v>2121660</v>
      </c>
      <c r="K183" s="34">
        <v>45688</v>
      </c>
      <c r="L183" s="34">
        <v>9055</v>
      </c>
      <c r="M183" s="34">
        <v>418200</v>
      </c>
      <c r="N183" s="34">
        <v>7698.6</v>
      </c>
      <c r="O183" s="34">
        <v>923720</v>
      </c>
      <c r="P183" s="34">
        <v>2870700</v>
      </c>
      <c r="Q183" s="34">
        <v>317625</v>
      </c>
      <c r="R183" s="34">
        <v>16689883.6</v>
      </c>
    </row>
    <row r="184" spans="2:18">
      <c r="B184" t="s">
        <v>23</v>
      </c>
      <c r="C184" s="34">
        <v>696300</v>
      </c>
      <c r="D184" s="34">
        <v>292950</v>
      </c>
      <c r="E184" s="34">
        <v>168552</v>
      </c>
      <c r="F184" s="34">
        <v>863820</v>
      </c>
      <c r="G184" s="34">
        <v>193850</v>
      </c>
      <c r="H184" s="34">
        <v>131508</v>
      </c>
      <c r="I184" s="34">
        <v>1705000</v>
      </c>
      <c r="J184" s="34">
        <v>1628280</v>
      </c>
      <c r="K184" s="34">
        <v>71576</v>
      </c>
      <c r="L184" s="34">
        <v>19420</v>
      </c>
      <c r="M184" s="34">
        <v>834105</v>
      </c>
      <c r="N184" s="34">
        <v>18205.2</v>
      </c>
      <c r="O184" s="34">
        <v>1009960</v>
      </c>
      <c r="P184" s="34">
        <v>3467520</v>
      </c>
      <c r="Q184" s="34">
        <v>437710</v>
      </c>
      <c r="R184" s="34">
        <v>11538756.199999999</v>
      </c>
    </row>
    <row r="185" spans="2:18">
      <c r="B185" t="s">
        <v>27</v>
      </c>
      <c r="C185" s="34">
        <v>1619640</v>
      </c>
      <c r="D185" s="34">
        <v>1488900</v>
      </c>
      <c r="E185" s="34">
        <v>123930</v>
      </c>
      <c r="F185" s="34">
        <v>361080</v>
      </c>
      <c r="G185" s="34">
        <v>282400</v>
      </c>
      <c r="H185" s="34">
        <v>78600</v>
      </c>
      <c r="I185" s="34">
        <v>5914800</v>
      </c>
      <c r="J185" s="34">
        <v>2097720</v>
      </c>
      <c r="K185" s="34">
        <v>46728</v>
      </c>
      <c r="L185" s="34">
        <v>17577.5</v>
      </c>
      <c r="M185" s="34">
        <v>307700</v>
      </c>
      <c r="N185" s="34">
        <v>10983.6</v>
      </c>
      <c r="O185" s="34">
        <v>848260</v>
      </c>
      <c r="P185" s="34">
        <v>2155020</v>
      </c>
      <c r="Q185" s="34">
        <v>253050</v>
      </c>
      <c r="R185" s="34">
        <v>15606389.1</v>
      </c>
    </row>
    <row r="186" spans="2:18">
      <c r="B186" t="s">
        <v>60</v>
      </c>
      <c r="C186" s="34">
        <v>9394770</v>
      </c>
      <c r="D186" s="34">
        <v>9537150</v>
      </c>
      <c r="E186" s="34">
        <v>1237230</v>
      </c>
      <c r="F186" s="34">
        <v>5248980</v>
      </c>
      <c r="G186" s="34">
        <v>1437550</v>
      </c>
      <c r="H186" s="34">
        <v>717516</v>
      </c>
      <c r="I186" s="34">
        <v>39636400</v>
      </c>
      <c r="J186" s="34">
        <v>13062240</v>
      </c>
      <c r="K186" s="34">
        <v>495808</v>
      </c>
      <c r="L186" s="34">
        <v>181817.5</v>
      </c>
      <c r="M186" s="34">
        <v>5662020</v>
      </c>
      <c r="N186" s="34">
        <v>76053.600000000006</v>
      </c>
      <c r="O186" s="34">
        <v>9140460</v>
      </c>
      <c r="P186" s="34">
        <v>22840860</v>
      </c>
      <c r="Q186" s="34">
        <v>2645090</v>
      </c>
      <c r="R186" s="34">
        <v>121313945.09999999</v>
      </c>
    </row>
    <row r="189" spans="2:18">
      <c r="B189" t="s">
        <v>102</v>
      </c>
    </row>
    <row r="190" spans="2:18">
      <c r="C190" t="s">
        <v>103</v>
      </c>
    </row>
    <row r="192" spans="2:18">
      <c r="B192" s="33" t="s">
        <v>55</v>
      </c>
      <c r="C192" s="33" t="s">
        <v>3</v>
      </c>
    </row>
    <row r="193" spans="2:7">
      <c r="B193" s="33" t="s">
        <v>48</v>
      </c>
      <c r="C193" t="s">
        <v>10</v>
      </c>
      <c r="D193" t="s">
        <v>26</v>
      </c>
      <c r="E193" t="s">
        <v>36</v>
      </c>
      <c r="F193" t="s">
        <v>30</v>
      </c>
      <c r="G193" t="s">
        <v>60</v>
      </c>
    </row>
    <row r="194" spans="2:7">
      <c r="B194" t="s">
        <v>70</v>
      </c>
      <c r="C194" s="34">
        <v>5565809</v>
      </c>
      <c r="D194" s="34">
        <v>2274770</v>
      </c>
      <c r="E194" s="34">
        <v>169788</v>
      </c>
      <c r="F194" s="34">
        <v>19383.400000000001</v>
      </c>
      <c r="G194" s="34">
        <v>8029750.4000000004</v>
      </c>
    </row>
    <row r="195" spans="2:7">
      <c r="B195" t="s">
        <v>72</v>
      </c>
      <c r="C195" s="34">
        <v>5380312</v>
      </c>
      <c r="D195" s="34">
        <v>3061630</v>
      </c>
      <c r="E195" s="34">
        <v>360360</v>
      </c>
      <c r="F195" s="34">
        <v>26943.5</v>
      </c>
      <c r="G195" s="34">
        <v>8829245.5</v>
      </c>
    </row>
    <row r="196" spans="2:7">
      <c r="B196" t="s">
        <v>74</v>
      </c>
      <c r="C196" s="34">
        <v>9870583</v>
      </c>
      <c r="D196" s="34">
        <v>2336840</v>
      </c>
      <c r="E196" s="34">
        <v>272755</v>
      </c>
      <c r="F196" s="34">
        <v>15601.7</v>
      </c>
      <c r="G196" s="34">
        <v>12495779.699999999</v>
      </c>
    </row>
    <row r="197" spans="2:7">
      <c r="B197" t="s">
        <v>75</v>
      </c>
      <c r="C197" s="34">
        <v>7242678</v>
      </c>
      <c r="D197" s="34">
        <v>2845240</v>
      </c>
      <c r="E197" s="34">
        <v>401614</v>
      </c>
      <c r="F197" s="34">
        <v>10147.5</v>
      </c>
      <c r="G197" s="34">
        <v>10499679.5</v>
      </c>
    </row>
    <row r="198" spans="2:7">
      <c r="B198" t="s">
        <v>76</v>
      </c>
      <c r="C198" s="34">
        <v>4072707</v>
      </c>
      <c r="D198" s="34">
        <v>2599755</v>
      </c>
      <c r="E198" s="34">
        <v>460026</v>
      </c>
      <c r="F198" s="34">
        <v>27501.5</v>
      </c>
      <c r="G198" s="34">
        <v>7159989.5</v>
      </c>
    </row>
    <row r="199" spans="2:7">
      <c r="B199" t="s">
        <v>77</v>
      </c>
      <c r="C199" s="34">
        <v>6163614</v>
      </c>
      <c r="D199" s="34">
        <v>1430190</v>
      </c>
      <c r="E199" s="34">
        <v>334631</v>
      </c>
      <c r="F199" s="34">
        <v>7205.1</v>
      </c>
      <c r="G199" s="34">
        <v>7935640.0999999996</v>
      </c>
    </row>
    <row r="200" spans="2:7">
      <c r="B200" t="s">
        <v>78</v>
      </c>
      <c r="C200" s="34">
        <v>8871406</v>
      </c>
      <c r="D200" s="34">
        <v>2899085</v>
      </c>
      <c r="E200" s="34">
        <v>250978</v>
      </c>
      <c r="F200" s="34">
        <v>23306.5</v>
      </c>
      <c r="G200" s="34">
        <v>12044775.5</v>
      </c>
    </row>
    <row r="201" spans="2:7">
      <c r="B201" t="s">
        <v>79</v>
      </c>
      <c r="C201" s="34">
        <v>9171395</v>
      </c>
      <c r="D201" s="34">
        <v>2423095</v>
      </c>
      <c r="E201" s="34">
        <v>501694</v>
      </c>
      <c r="F201" s="34">
        <v>32683.8</v>
      </c>
      <c r="G201" s="34">
        <v>12128867.800000001</v>
      </c>
    </row>
    <row r="202" spans="2:7">
      <c r="B202" t="s">
        <v>80</v>
      </c>
      <c r="C202" s="34">
        <v>6728553</v>
      </c>
      <c r="D202" s="34">
        <v>2437415</v>
      </c>
      <c r="E202" s="34">
        <v>213934</v>
      </c>
      <c r="F202" s="34">
        <v>16343.4</v>
      </c>
      <c r="G202" s="34">
        <v>9396245.4000000004</v>
      </c>
    </row>
    <row r="203" spans="2:7">
      <c r="B203" t="s">
        <v>81</v>
      </c>
      <c r="C203" s="34">
        <v>7273161</v>
      </c>
      <c r="D203" s="34">
        <v>1867910</v>
      </c>
      <c r="E203" s="34">
        <v>266095</v>
      </c>
      <c r="F203" s="34">
        <v>23318.7</v>
      </c>
      <c r="G203" s="34">
        <v>9430484.6999999993</v>
      </c>
    </row>
    <row r="204" spans="2:7">
      <c r="B204" t="s">
        <v>82</v>
      </c>
      <c r="C204" s="34">
        <v>5143772</v>
      </c>
      <c r="D204" s="34">
        <v>2547480</v>
      </c>
      <c r="E204" s="34">
        <v>198974</v>
      </c>
      <c r="F204" s="34">
        <v>31685.8</v>
      </c>
      <c r="G204" s="34">
        <v>7921911.7999999998</v>
      </c>
    </row>
    <row r="205" spans="2:7">
      <c r="B205" t="s">
        <v>83</v>
      </c>
      <c r="C205" s="34">
        <v>12540644</v>
      </c>
      <c r="D205" s="34">
        <v>3119510</v>
      </c>
      <c r="E205" s="34">
        <v>415471</v>
      </c>
      <c r="F205" s="34">
        <v>23750.2</v>
      </c>
      <c r="G205" s="34">
        <v>16099375.199999999</v>
      </c>
    </row>
    <row r="206" spans="2:7">
      <c r="B206" t="s">
        <v>60</v>
      </c>
      <c r="C206" s="34">
        <v>88024634</v>
      </c>
      <c r="D206" s="34">
        <v>29842920</v>
      </c>
      <c r="E206" s="34">
        <v>3846320</v>
      </c>
      <c r="F206" s="34">
        <v>257871.1</v>
      </c>
      <c r="G206" s="34">
        <v>121971745.10000001</v>
      </c>
    </row>
    <row r="209" spans="2:8">
      <c r="B209" t="s">
        <v>104</v>
      </c>
    </row>
    <row r="210" spans="2:8">
      <c r="G210" t="s">
        <v>105</v>
      </c>
    </row>
    <row r="211" spans="2:8">
      <c r="B211" s="33" t="s">
        <v>48</v>
      </c>
      <c r="C211" t="s">
        <v>106</v>
      </c>
    </row>
    <row r="212" spans="2:8">
      <c r="B212" t="s">
        <v>70</v>
      </c>
      <c r="C212" s="34">
        <v>105654.6105263158</v>
      </c>
      <c r="G212" s="33" t="s">
        <v>2</v>
      </c>
      <c r="H212" t="s">
        <v>55</v>
      </c>
    </row>
    <row r="213" spans="2:8">
      <c r="B213" t="s">
        <v>72</v>
      </c>
      <c r="C213" s="34">
        <v>97024.675824175822</v>
      </c>
      <c r="G213" t="s">
        <v>16</v>
      </c>
      <c r="H213" s="34">
        <v>40294200</v>
      </c>
    </row>
    <row r="214" spans="2:8">
      <c r="B214" t="s">
        <v>74</v>
      </c>
      <c r="C214" s="34">
        <v>158174.42658227848</v>
      </c>
      <c r="G214" t="s">
        <v>38</v>
      </c>
      <c r="H214" s="34">
        <v>22840860</v>
      </c>
    </row>
    <row r="215" spans="2:8">
      <c r="B215" t="s">
        <v>75</v>
      </c>
      <c r="C215" s="34">
        <v>136359.47402597402</v>
      </c>
      <c r="E215" t="s">
        <v>107</v>
      </c>
      <c r="G215" t="s">
        <v>9</v>
      </c>
      <c r="H215" s="34">
        <v>13062240</v>
      </c>
    </row>
    <row r="216" spans="2:8">
      <c r="B216" t="s">
        <v>76</v>
      </c>
      <c r="C216" s="34">
        <v>84235.170588235298</v>
      </c>
      <c r="G216" t="s">
        <v>34</v>
      </c>
      <c r="H216" s="34">
        <v>9537150</v>
      </c>
    </row>
    <row r="217" spans="2:8">
      <c r="B217" t="s">
        <v>77</v>
      </c>
      <c r="C217" s="34">
        <v>113366.28714285714</v>
      </c>
      <c r="G217" t="s">
        <v>25</v>
      </c>
      <c r="H217" s="34">
        <v>9394770</v>
      </c>
    </row>
    <row r="218" spans="2:8">
      <c r="B218" t="s">
        <v>78</v>
      </c>
      <c r="C218" s="34">
        <v>140055.52906976745</v>
      </c>
      <c r="G218" t="s">
        <v>21</v>
      </c>
      <c r="H218" s="34">
        <v>9140460</v>
      </c>
    </row>
    <row r="219" spans="2:8">
      <c r="B219" t="s">
        <v>79</v>
      </c>
      <c r="C219" s="34">
        <v>118910.46862745097</v>
      </c>
      <c r="G219" t="s">
        <v>31</v>
      </c>
      <c r="H219" s="34">
        <v>5662020</v>
      </c>
    </row>
    <row r="220" spans="2:8">
      <c r="B220" t="s">
        <v>80</v>
      </c>
      <c r="C220" s="34">
        <v>118939.81518987339</v>
      </c>
      <c r="G220" t="s">
        <v>28</v>
      </c>
      <c r="H220" s="34">
        <v>5248980</v>
      </c>
    </row>
    <row r="221" spans="2:8">
      <c r="B221" t="s">
        <v>81</v>
      </c>
      <c r="C221" s="34">
        <v>122473.82727272726</v>
      </c>
      <c r="G221" t="s">
        <v>35</v>
      </c>
      <c r="H221" s="34">
        <v>2645090</v>
      </c>
    </row>
    <row r="222" spans="2:8">
      <c r="B222" t="s">
        <v>82</v>
      </c>
      <c r="C222" s="34">
        <v>108519.33972602739</v>
      </c>
      <c r="G222" t="s">
        <v>33</v>
      </c>
      <c r="H222" s="34">
        <v>1437550</v>
      </c>
    </row>
    <row r="223" spans="2:8">
      <c r="B223" t="s">
        <v>83</v>
      </c>
      <c r="C223" s="34">
        <v>156304.61359223301</v>
      </c>
      <c r="G223" t="s">
        <v>60</v>
      </c>
      <c r="H223" s="34">
        <v>119263320</v>
      </c>
    </row>
    <row r="224" spans="2:8">
      <c r="B224" t="s">
        <v>60</v>
      </c>
      <c r="C224" s="34">
        <v>122216.1774549098</v>
      </c>
    </row>
  </sheetData>
  <conditionalFormatting sqref="B8:C2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C3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C5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5:C7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83:C10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83:C10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{4A892025-FF31-41DD-A9A2-5DCB5D53874D}</x14:id>
        </ext>
      </extLst>
    </cfRule>
  </conditionalFormatting>
  <conditionalFormatting pivot="1" sqref="C83:C10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{DE4DA1BC-1580-490F-91E5-D1E78554800C}</x14:id>
        </ext>
      </extLst>
    </cfRule>
  </conditionalFormatting>
  <conditionalFormatting pivot="1" sqref="C83:C102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{2B06A13E-2150-4A14-8ED5-D70CB9B4974C}</x14:id>
        </ext>
      </extLst>
    </cfRule>
  </conditionalFormatting>
  <conditionalFormatting pivot="1" sqref="C83:C10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{7984844B-23D3-4161-940E-9E8531423AC5}</x14:id>
        </ext>
      </extLst>
    </cfRule>
  </conditionalFormatting>
  <conditionalFormatting pivot="1" sqref="C109:C1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38:C4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22:C13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44:C14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6:B15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56:Q15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67:F17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78:Q18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94:F20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12:C2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213:H220 H2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A892025-FF31-41DD-A9A2-5DCB5D5387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C83:C102</xm:sqref>
        </x14:conditionalFormatting>
        <x14:conditionalFormatting xmlns:xm="http://schemas.microsoft.com/office/excel/2006/main" pivot="1">
          <x14:cfRule type="dataBar" id="{DE4DA1BC-1580-490F-91E5-D1E7855480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C83:C102</xm:sqref>
        </x14:conditionalFormatting>
        <x14:conditionalFormatting xmlns:xm="http://schemas.microsoft.com/office/excel/2006/main" pivot="1">
          <x14:cfRule type="dataBar" id="{2B06A13E-2150-4A14-8ED5-D70CB9B497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C83:C102</xm:sqref>
        </x14:conditionalFormatting>
        <x14:conditionalFormatting xmlns:xm="http://schemas.microsoft.com/office/excel/2006/main" pivot="1">
          <x14:cfRule type="dataBar" id="{7984844B-23D3-4161-940E-9E8531423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C83:C102</xm:sqref>
        </x14:conditionalFormatting>
      </x14:conditionalFormattings>
    </ext>
    <ext xmlns:x14="http://schemas.microsoft.com/office/spreadsheetml/2009/9/main" uri="{A8765BA9-456A-4dab-B4F3-ACF838C121DE}">
      <x14:slicerList>
        <x14:slicer r:id="rId1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A8CC-74B4-4804-90C6-E7B9FA0F58AB}">
  <dimension ref="B2:G82"/>
  <sheetViews>
    <sheetView workbookViewId="0">
      <selection activeCell="C20" sqref="C20"/>
    </sheetView>
  </sheetViews>
  <sheetFormatPr defaultRowHeight="15"/>
  <cols>
    <col min="2" max="2" width="12.85546875" bestFit="1" customWidth="1"/>
    <col min="3" max="3" width="22.42578125" bestFit="1" customWidth="1"/>
    <col min="4" max="4" width="15" bestFit="1" customWidth="1"/>
    <col min="6" max="6" width="9.28515625" bestFit="1" customWidth="1"/>
  </cols>
  <sheetData>
    <row r="2" spans="2:3">
      <c r="B2" t="s">
        <v>108</v>
      </c>
    </row>
    <row r="4" spans="2:3">
      <c r="B4" s="33" t="s">
        <v>2</v>
      </c>
      <c r="C4" t="s">
        <v>109</v>
      </c>
    </row>
    <row r="5" spans="2:3">
      <c r="B5" t="s">
        <v>25</v>
      </c>
      <c r="C5" s="34">
        <v>10230000</v>
      </c>
    </row>
    <row r="6" spans="2:3">
      <c r="B6" t="s">
        <v>34</v>
      </c>
      <c r="C6" s="34">
        <v>10365000</v>
      </c>
    </row>
    <row r="7" spans="2:3">
      <c r="B7" t="s">
        <v>37</v>
      </c>
      <c r="C7" s="34">
        <v>1323000</v>
      </c>
    </row>
    <row r="8" spans="2:3">
      <c r="B8" t="s">
        <v>28</v>
      </c>
      <c r="C8" s="34">
        <v>5733000</v>
      </c>
    </row>
    <row r="9" spans="2:3">
      <c r="B9" t="s">
        <v>33</v>
      </c>
      <c r="C9" s="34">
        <v>1602500</v>
      </c>
    </row>
    <row r="10" spans="2:3">
      <c r="B10" t="s">
        <v>13</v>
      </c>
      <c r="C10" s="34">
        <v>781200</v>
      </c>
    </row>
    <row r="11" spans="2:3">
      <c r="B11" t="s">
        <v>16</v>
      </c>
      <c r="C11" s="34">
        <v>44036000</v>
      </c>
    </row>
    <row r="12" spans="2:3">
      <c r="B12" t="s">
        <v>9</v>
      </c>
      <c r="C12" s="34">
        <v>14436000</v>
      </c>
    </row>
    <row r="13" spans="2:3">
      <c r="B13" t="s">
        <v>19</v>
      </c>
      <c r="C13" s="34">
        <v>540800</v>
      </c>
    </row>
    <row r="14" spans="2:3">
      <c r="B14" t="s">
        <v>29</v>
      </c>
      <c r="C14" s="34">
        <v>197750</v>
      </c>
    </row>
    <row r="15" spans="2:3">
      <c r="B15" t="s">
        <v>31</v>
      </c>
      <c r="C15" s="34">
        <v>6171000</v>
      </c>
    </row>
    <row r="16" spans="2:3">
      <c r="B16" t="s">
        <v>39</v>
      </c>
      <c r="C16" s="34">
        <v>81360</v>
      </c>
    </row>
    <row r="17" spans="2:3">
      <c r="B17" t="s">
        <v>21</v>
      </c>
      <c r="C17" s="34">
        <v>9912000</v>
      </c>
    </row>
    <row r="18" spans="2:3">
      <c r="B18" t="s">
        <v>38</v>
      </c>
      <c r="C18" s="34">
        <v>25032000</v>
      </c>
    </row>
    <row r="19" spans="2:3">
      <c r="B19" t="s">
        <v>35</v>
      </c>
      <c r="C19" s="34">
        <v>2873500</v>
      </c>
    </row>
    <row r="20" spans="2:3">
      <c r="B20" t="s">
        <v>60</v>
      </c>
      <c r="C20" s="34">
        <v>133315110</v>
      </c>
    </row>
    <row r="23" spans="2:3">
      <c r="B23" t="s">
        <v>110</v>
      </c>
    </row>
    <row r="26" spans="2:3">
      <c r="B26" s="33" t="s">
        <v>3</v>
      </c>
      <c r="C26" t="s">
        <v>109</v>
      </c>
    </row>
    <row r="27" spans="2:3">
      <c r="B27" t="s">
        <v>10</v>
      </c>
      <c r="C27" s="34">
        <v>96376500</v>
      </c>
    </row>
    <row r="28" spans="2:3">
      <c r="B28" t="s">
        <v>26</v>
      </c>
      <c r="C28" s="34">
        <v>32499000</v>
      </c>
    </row>
    <row r="29" spans="2:3">
      <c r="B29" t="s">
        <v>36</v>
      </c>
      <c r="C29" s="34">
        <v>4160500</v>
      </c>
    </row>
    <row r="30" spans="2:3">
      <c r="B30" t="s">
        <v>30</v>
      </c>
      <c r="C30" s="34">
        <v>279110</v>
      </c>
    </row>
    <row r="31" spans="2:3">
      <c r="B31" t="s">
        <v>60</v>
      </c>
      <c r="C31" s="34">
        <v>133315110</v>
      </c>
    </row>
    <row r="34" spans="2:3">
      <c r="B34" t="s">
        <v>111</v>
      </c>
    </row>
    <row r="36" spans="2:3">
      <c r="B36" s="33" t="s">
        <v>4</v>
      </c>
      <c r="C36" t="s">
        <v>109</v>
      </c>
    </row>
    <row r="37" spans="2:3">
      <c r="B37" t="s">
        <v>11</v>
      </c>
      <c r="C37" s="34">
        <v>33736830</v>
      </c>
    </row>
    <row r="38" spans="2:3">
      <c r="B38" t="s">
        <v>14</v>
      </c>
      <c r="C38" s="34">
        <v>26440670</v>
      </c>
    </row>
    <row r="39" spans="2:3">
      <c r="B39" t="s">
        <v>17</v>
      </c>
      <c r="C39" s="34">
        <v>38817840</v>
      </c>
    </row>
    <row r="40" spans="2:3">
      <c r="B40" t="s">
        <v>50</v>
      </c>
      <c r="C40" s="34">
        <v>12000</v>
      </c>
    </row>
    <row r="41" spans="2:3">
      <c r="B41" t="s">
        <v>22</v>
      </c>
      <c r="C41" s="34">
        <v>34307770</v>
      </c>
    </row>
    <row r="42" spans="2:3">
      <c r="B42" t="s">
        <v>60</v>
      </c>
      <c r="C42" s="34">
        <v>133315110</v>
      </c>
    </row>
    <row r="45" spans="2:3">
      <c r="B45" t="s">
        <v>112</v>
      </c>
    </row>
    <row r="47" spans="2:3">
      <c r="B47" s="33" t="s">
        <v>48</v>
      </c>
      <c r="C47" t="s">
        <v>109</v>
      </c>
    </row>
    <row r="48" spans="2:3">
      <c r="B48" t="s">
        <v>70</v>
      </c>
      <c r="C48" s="34">
        <v>8831350</v>
      </c>
    </row>
    <row r="49" spans="2:3">
      <c r="B49" t="s">
        <v>72</v>
      </c>
      <c r="C49" s="34">
        <v>9638690</v>
      </c>
    </row>
    <row r="50" spans="2:3">
      <c r="B50" t="s">
        <v>74</v>
      </c>
      <c r="C50" s="34">
        <v>13635690</v>
      </c>
    </row>
    <row r="51" spans="2:3">
      <c r="B51" t="s">
        <v>75</v>
      </c>
      <c r="C51" s="34">
        <v>11513440</v>
      </c>
    </row>
    <row r="52" spans="2:3">
      <c r="B52" t="s">
        <v>76</v>
      </c>
      <c r="C52" s="34">
        <v>7813600</v>
      </c>
    </row>
    <row r="53" spans="2:3">
      <c r="B53" t="s">
        <v>77</v>
      </c>
      <c r="C53" s="34">
        <v>8678270</v>
      </c>
    </row>
    <row r="54" spans="2:3">
      <c r="B54" t="s">
        <v>78</v>
      </c>
      <c r="C54" s="34">
        <v>13041730</v>
      </c>
    </row>
    <row r="55" spans="2:3">
      <c r="B55" t="s">
        <v>79</v>
      </c>
      <c r="C55" s="34">
        <v>13429350</v>
      </c>
    </row>
    <row r="56" spans="2:3">
      <c r="B56" t="s">
        <v>80</v>
      </c>
      <c r="C56" s="34">
        <v>10345850</v>
      </c>
    </row>
    <row r="57" spans="2:3">
      <c r="B57" t="s">
        <v>81</v>
      </c>
      <c r="C57" s="34">
        <v>10258810</v>
      </c>
    </row>
    <row r="58" spans="2:3">
      <c r="B58" t="s">
        <v>82</v>
      </c>
      <c r="C58" s="34">
        <v>8672790</v>
      </c>
    </row>
    <row r="59" spans="2:3">
      <c r="B59" t="s">
        <v>83</v>
      </c>
      <c r="C59" s="34">
        <v>17455540</v>
      </c>
    </row>
    <row r="60" spans="2:3">
      <c r="B60" t="s">
        <v>60</v>
      </c>
      <c r="C60" s="34">
        <v>133315110</v>
      </c>
    </row>
    <row r="64" spans="2:3">
      <c r="B64" t="s">
        <v>113</v>
      </c>
    </row>
    <row r="66" spans="2:7">
      <c r="B66" s="33" t="s">
        <v>2</v>
      </c>
      <c r="C66" t="s">
        <v>109</v>
      </c>
      <c r="D66" t="s">
        <v>55</v>
      </c>
      <c r="E66" t="s">
        <v>114</v>
      </c>
      <c r="F66" t="s">
        <v>115</v>
      </c>
    </row>
    <row r="67" spans="2:7">
      <c r="B67" t="s">
        <v>25</v>
      </c>
      <c r="C67" s="34">
        <v>10230000</v>
      </c>
      <c r="D67" s="34">
        <v>9394770</v>
      </c>
      <c r="E67">
        <f>C67-D67</f>
        <v>835230</v>
      </c>
      <c r="F67" s="34">
        <f>(E67/C67)*100</f>
        <v>8.1645161290322577</v>
      </c>
      <c r="G67" s="34"/>
    </row>
    <row r="68" spans="2:7">
      <c r="B68" t="s">
        <v>34</v>
      </c>
      <c r="C68" s="34">
        <v>10365000</v>
      </c>
      <c r="D68" s="34">
        <v>9537150</v>
      </c>
      <c r="E68">
        <f t="shared" ref="E68:E82" si="0">C68-D68</f>
        <v>827850</v>
      </c>
      <c r="F68" s="34">
        <f t="shared" ref="F68:F82" si="1">(E68/C68)*100</f>
        <v>7.9869753979739517</v>
      </c>
    </row>
    <row r="69" spans="2:7">
      <c r="B69" t="s">
        <v>37</v>
      </c>
      <c r="C69" s="34">
        <v>1323000</v>
      </c>
      <c r="D69" s="34">
        <v>1237230</v>
      </c>
      <c r="E69">
        <f t="shared" si="0"/>
        <v>85770</v>
      </c>
      <c r="F69" s="34">
        <f t="shared" si="1"/>
        <v>6.4829931972789119</v>
      </c>
    </row>
    <row r="70" spans="2:7">
      <c r="B70" t="s">
        <v>28</v>
      </c>
      <c r="C70" s="34">
        <v>5733000</v>
      </c>
      <c r="D70" s="34">
        <v>5248980</v>
      </c>
      <c r="E70">
        <f t="shared" si="0"/>
        <v>484020</v>
      </c>
      <c r="F70" s="34">
        <f t="shared" si="1"/>
        <v>8.4427001569858717</v>
      </c>
    </row>
    <row r="71" spans="2:7">
      <c r="B71" t="s">
        <v>33</v>
      </c>
      <c r="C71" s="34">
        <v>1602500</v>
      </c>
      <c r="D71" s="34">
        <v>1437550</v>
      </c>
      <c r="E71">
        <f t="shared" si="0"/>
        <v>164950</v>
      </c>
      <c r="F71" s="34">
        <f t="shared" si="1"/>
        <v>10.293291731669267</v>
      </c>
    </row>
    <row r="72" spans="2:7">
      <c r="B72" t="s">
        <v>13</v>
      </c>
      <c r="C72" s="34">
        <v>781200</v>
      </c>
      <c r="D72" s="34">
        <v>717516</v>
      </c>
      <c r="E72">
        <f t="shared" si="0"/>
        <v>63684</v>
      </c>
      <c r="F72" s="34">
        <f t="shared" si="1"/>
        <v>8.1520737327188932</v>
      </c>
    </row>
    <row r="73" spans="2:7">
      <c r="B73" t="s">
        <v>16</v>
      </c>
      <c r="C73" s="34">
        <v>44036000</v>
      </c>
      <c r="D73" s="34">
        <v>40294200</v>
      </c>
      <c r="E73">
        <f t="shared" si="0"/>
        <v>3741800</v>
      </c>
      <c r="F73" s="34">
        <f t="shared" si="1"/>
        <v>8.4971387046961588</v>
      </c>
    </row>
    <row r="74" spans="2:7">
      <c r="B74" t="s">
        <v>9</v>
      </c>
      <c r="C74" s="34">
        <v>14436000</v>
      </c>
      <c r="D74" s="34">
        <v>13062240</v>
      </c>
      <c r="E74">
        <f t="shared" si="0"/>
        <v>1373760</v>
      </c>
      <c r="F74" s="34">
        <f t="shared" si="1"/>
        <v>9.5162094763092266</v>
      </c>
    </row>
    <row r="75" spans="2:7">
      <c r="B75" t="s">
        <v>19</v>
      </c>
      <c r="C75" s="34">
        <v>540800</v>
      </c>
      <c r="D75" s="34">
        <v>495808</v>
      </c>
      <c r="E75">
        <f t="shared" si="0"/>
        <v>44992</v>
      </c>
      <c r="F75" s="34">
        <f t="shared" si="1"/>
        <v>8.3195266272189343</v>
      </c>
    </row>
    <row r="76" spans="2:7">
      <c r="B76" t="s">
        <v>29</v>
      </c>
      <c r="C76" s="34">
        <v>197750</v>
      </c>
      <c r="D76" s="34">
        <v>181817.5</v>
      </c>
      <c r="E76">
        <f t="shared" si="0"/>
        <v>15932.5</v>
      </c>
      <c r="F76" s="34">
        <f t="shared" si="1"/>
        <v>8.0568900126422243</v>
      </c>
    </row>
    <row r="77" spans="2:7">
      <c r="B77" t="s">
        <v>31</v>
      </c>
      <c r="C77" s="34">
        <v>6171000</v>
      </c>
      <c r="D77" s="34">
        <v>5662020</v>
      </c>
      <c r="E77">
        <f t="shared" si="0"/>
        <v>508980</v>
      </c>
      <c r="F77" s="34">
        <f t="shared" si="1"/>
        <v>8.2479338842975203</v>
      </c>
    </row>
    <row r="78" spans="2:7">
      <c r="B78" t="s">
        <v>39</v>
      </c>
      <c r="C78" s="34">
        <v>81360</v>
      </c>
      <c r="D78" s="34">
        <v>76053.599999999991</v>
      </c>
      <c r="E78">
        <f t="shared" si="0"/>
        <v>5306.4000000000087</v>
      </c>
      <c r="F78" s="34">
        <f t="shared" si="1"/>
        <v>6.5221238938053201</v>
      </c>
    </row>
    <row r="79" spans="2:7">
      <c r="B79" t="s">
        <v>21</v>
      </c>
      <c r="C79" s="34">
        <v>9912000</v>
      </c>
      <c r="D79" s="34">
        <v>9140460</v>
      </c>
      <c r="E79">
        <f t="shared" si="0"/>
        <v>771540</v>
      </c>
      <c r="F79" s="34">
        <f t="shared" si="1"/>
        <v>7.7838983050847448</v>
      </c>
    </row>
    <row r="80" spans="2:7">
      <c r="B80" t="s">
        <v>38</v>
      </c>
      <c r="C80" s="34">
        <v>25032000</v>
      </c>
      <c r="D80" s="34">
        <v>22840860</v>
      </c>
      <c r="E80">
        <f t="shared" si="0"/>
        <v>2191140</v>
      </c>
      <c r="F80" s="34">
        <f t="shared" si="1"/>
        <v>8.7533557046979862</v>
      </c>
    </row>
    <row r="81" spans="2:6">
      <c r="B81" t="s">
        <v>35</v>
      </c>
      <c r="C81" s="34">
        <v>2873500</v>
      </c>
      <c r="D81" s="34">
        <v>2645090</v>
      </c>
      <c r="E81">
        <f t="shared" si="0"/>
        <v>228410</v>
      </c>
      <c r="F81" s="34">
        <f t="shared" si="1"/>
        <v>7.9488428745432396</v>
      </c>
    </row>
    <row r="82" spans="2:6">
      <c r="B82" t="s">
        <v>60</v>
      </c>
      <c r="C82" s="34">
        <v>133315110</v>
      </c>
      <c r="D82" s="34">
        <v>121971745.09999999</v>
      </c>
      <c r="E82">
        <f t="shared" si="0"/>
        <v>11343364.900000006</v>
      </c>
      <c r="F82" s="34">
        <f t="shared" si="1"/>
        <v>8.5086865997410239</v>
      </c>
    </row>
  </sheetData>
  <conditionalFormatting pivot="1" sqref="C5:C1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7:C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37:C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48:C5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67:D8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7:E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7:F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E519-737C-42E9-9E95-30FE5F6A1612}">
  <dimension ref="A1:N2"/>
  <sheetViews>
    <sheetView workbookViewId="0">
      <selection activeCell="R10" sqref="R10"/>
    </sheetView>
  </sheetViews>
  <sheetFormatPr defaultRowHeight="15"/>
  <cols>
    <col min="1" max="1" width="12.85546875" bestFit="1" customWidth="1"/>
    <col min="2" max="2" width="17.28515625" bestFit="1" customWidth="1"/>
  </cols>
  <sheetData>
    <row r="1" spans="1:14" ht="26.25">
      <c r="A1" s="42" t="s">
        <v>116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15.75">
      <c r="A2" s="43" t="s">
        <v>117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067E-E917-444A-8A0C-F79829E7BEF9}">
  <dimension ref="B3:B13"/>
  <sheetViews>
    <sheetView workbookViewId="0">
      <selection activeCell="I21" sqref="I21"/>
    </sheetView>
  </sheetViews>
  <sheetFormatPr defaultRowHeight="15"/>
  <sheetData>
    <row r="3" spans="2:2">
      <c r="B3" t="s">
        <v>118</v>
      </c>
    </row>
    <row r="4" spans="2:2">
      <c r="B4" t="s">
        <v>119</v>
      </c>
    </row>
    <row r="5" spans="2:2">
      <c r="B5" t="s">
        <v>120</v>
      </c>
    </row>
    <row r="6" spans="2:2">
      <c r="B6" t="s">
        <v>121</v>
      </c>
    </row>
    <row r="7" spans="2:2">
      <c r="B7" t="s">
        <v>122</v>
      </c>
    </row>
    <row r="8" spans="2:2">
      <c r="B8" t="s">
        <v>123</v>
      </c>
    </row>
    <row r="9" spans="2:2">
      <c r="B9" t="s">
        <v>124</v>
      </c>
    </row>
    <row r="10" spans="2:2">
      <c r="B10" t="s">
        <v>125</v>
      </c>
    </row>
    <row r="11" spans="2:2">
      <c r="B11" t="s">
        <v>126</v>
      </c>
    </row>
    <row r="12" spans="2:2">
      <c r="B12" t="s">
        <v>127</v>
      </c>
    </row>
    <row r="13" spans="2:2">
      <c r="B13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C5C0-4374-47F0-A8E9-6679811BAD17}">
  <dimension ref="C3:D6"/>
  <sheetViews>
    <sheetView workbookViewId="0">
      <selection activeCell="D4" sqref="D4"/>
    </sheetView>
  </sheetViews>
  <sheetFormatPr defaultRowHeight="15"/>
  <sheetData>
    <row r="3" spans="3:4">
      <c r="C3" t="s">
        <v>129</v>
      </c>
    </row>
    <row r="4" spans="3:4">
      <c r="D4" t="s">
        <v>130</v>
      </c>
    </row>
    <row r="5" spans="3:4">
      <c r="D5" t="s">
        <v>131</v>
      </c>
    </row>
    <row r="6" spans="3:4">
      <c r="D6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0BAE-E761-4FA6-A2A9-96089115E71D}">
  <dimension ref="A1:A16"/>
  <sheetViews>
    <sheetView workbookViewId="0">
      <selection activeCell="D10" sqref="D10"/>
    </sheetView>
  </sheetViews>
  <sheetFormatPr defaultRowHeight="15"/>
  <sheetData>
    <row r="1" spans="1:1" ht="15.75">
      <c r="A1" s="13" t="s">
        <v>133</v>
      </c>
    </row>
    <row r="2" spans="1:1" ht="25.5">
      <c r="A2" s="1" t="s">
        <v>42</v>
      </c>
    </row>
    <row r="3" spans="1:1">
      <c r="A3" s="14" t="s">
        <v>134</v>
      </c>
    </row>
    <row r="4" spans="1:1">
      <c r="A4" s="14" t="s">
        <v>135</v>
      </c>
    </row>
    <row r="5" spans="1:1" ht="25.5">
      <c r="A5" s="1" t="s">
        <v>42</v>
      </c>
    </row>
    <row r="6" spans="1:1">
      <c r="A6" s="14" t="s">
        <v>136</v>
      </c>
    </row>
    <row r="7" spans="1:1">
      <c r="A7" s="14" t="s">
        <v>137</v>
      </c>
    </row>
    <row r="8" spans="1:1">
      <c r="A8" s="14" t="s">
        <v>138</v>
      </c>
    </row>
    <row r="9" spans="1:1">
      <c r="A9" s="14" t="s">
        <v>139</v>
      </c>
    </row>
    <row r="10" spans="1:1" ht="25.5">
      <c r="A10" s="1" t="s">
        <v>42</v>
      </c>
    </row>
    <row r="11" spans="1:1">
      <c r="A11" s="14" t="s">
        <v>140</v>
      </c>
    </row>
    <row r="12" spans="1:1">
      <c r="A12" s="14" t="s">
        <v>141</v>
      </c>
    </row>
    <row r="13" spans="1:1">
      <c r="A13" s="14" t="s">
        <v>142</v>
      </c>
    </row>
    <row r="14" spans="1:1" ht="25.5">
      <c r="A14" s="1" t="s">
        <v>42</v>
      </c>
    </row>
    <row r="15" spans="1:1">
      <c r="A15" s="14" t="s">
        <v>143</v>
      </c>
    </row>
    <row r="16" spans="1:1">
      <c r="A16" s="1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76FE-940A-4388-BBE1-ABCA1AB3159F}">
  <dimension ref="A3:D22"/>
  <sheetViews>
    <sheetView workbookViewId="0">
      <selection activeCell="E26" sqref="E26"/>
    </sheetView>
  </sheetViews>
  <sheetFormatPr defaultRowHeight="15"/>
  <sheetData>
    <row r="3" spans="1:4">
      <c r="A3" t="s">
        <v>145</v>
      </c>
      <c r="C3" t="s">
        <v>146</v>
      </c>
    </row>
    <row r="5" spans="1:4">
      <c r="B5" t="s">
        <v>147</v>
      </c>
    </row>
    <row r="6" spans="1:4">
      <c r="B6" t="s">
        <v>148</v>
      </c>
    </row>
    <row r="7" spans="1:4">
      <c r="B7" t="s">
        <v>149</v>
      </c>
    </row>
    <row r="8" spans="1:4">
      <c r="B8" t="s">
        <v>150</v>
      </c>
    </row>
    <row r="9" spans="1:4">
      <c r="B9" t="s">
        <v>151</v>
      </c>
    </row>
    <row r="10" spans="1:4">
      <c r="B10" t="s">
        <v>152</v>
      </c>
    </row>
    <row r="11" spans="1:4">
      <c r="B11" t="s">
        <v>153</v>
      </c>
    </row>
    <row r="14" spans="1:4">
      <c r="B14" s="27"/>
      <c r="D14" t="s">
        <v>154</v>
      </c>
    </row>
    <row r="17" spans="2:2">
      <c r="B17" t="s">
        <v>155</v>
      </c>
    </row>
    <row r="18" spans="2:2">
      <c r="B18" t="s">
        <v>156</v>
      </c>
    </row>
    <row r="19" spans="2:2">
      <c r="B19" s="27" t="s">
        <v>157</v>
      </c>
    </row>
    <row r="20" spans="2:2">
      <c r="B20" t="s">
        <v>158</v>
      </c>
    </row>
    <row r="21" spans="2:2">
      <c r="B21" t="s">
        <v>159</v>
      </c>
    </row>
    <row r="22" spans="2:2">
      <c r="B2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2026-09-17T07:14:45Z</dcterms:created>
  <dcterms:modified xsi:type="dcterms:W3CDTF">2026-09-18T09:15:25Z</dcterms:modified>
  <cp:category/>
  <cp:contentStatus/>
</cp:coreProperties>
</file>